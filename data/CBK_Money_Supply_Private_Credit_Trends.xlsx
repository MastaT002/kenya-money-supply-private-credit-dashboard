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_Report" sheetId="1" state="visible" r:id="rId3"/>
    <sheet name="PowerBI_Data" sheetId="2" state="visible" r:id="rId4"/>
    <sheet name="Sector_Credit_Dat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<sst xmlns="http://schemas.openxmlformats.org/spreadsheetml/2006/main" count="892" uniqueCount="71">
  <si>
    <t xml:space="preserve">CBK MONEY SUPPLY &amp; PRIVATE CREDIT TRENDS 
(KSH Billion, Jan 2025 – Feb 2026)</t>
  </si>
  <si>
    <t xml:space="preserve">Label</t>
  </si>
  <si>
    <t xml:space="preserve">Jan – 25</t>
  </si>
  <si>
    <t xml:space="preserve">Feb- 25</t>
  </si>
  <si>
    <t xml:space="preserve">Mar- 25</t>
  </si>
  <si>
    <t xml:space="preserve">April – 25</t>
  </si>
  <si>
    <t xml:space="preserve">May -  25</t>
  </si>
  <si>
    <t xml:space="preserve">Jun – 25</t>
  </si>
  <si>
    <t xml:space="preserve">Jul – 25</t>
  </si>
  <si>
    <t xml:space="preserve">Aug – 25</t>
  </si>
  <si>
    <t xml:space="preserve">Sep – 25</t>
  </si>
  <si>
    <t xml:space="preserve">Oct – 25</t>
  </si>
  <si>
    <t xml:space="preserve">Nov – 25</t>
  </si>
  <si>
    <t xml:space="preserve">Dec - 25</t>
  </si>
  <si>
    <t xml:space="preserve">Jan – 26</t>
  </si>
  <si>
    <t xml:space="preserve">Feb – 26</t>
  </si>
  <si>
    <t xml:space="preserve">Money supply, M3</t>
  </si>
  <si>
    <t xml:space="preserve">Currency outside banks</t>
  </si>
  <si>
    <t xml:space="preserve">Demand deposits</t>
  </si>
  <si>
    <t xml:space="preserve">Private sector credit</t>
  </si>
  <si>
    <t xml:space="preserve">Cash as % of M3 </t>
  </si>
  <si>
    <t xml:space="preserve">Cash MoM Change (%) </t>
  </si>
  <si>
    <t xml:space="preserve">Private Credit MoM Change (%) </t>
  </si>
  <si>
    <t xml:space="preserve">Cash as % of Liquid Money </t>
  </si>
  <si>
    <t xml:space="preserve">SUMMARY </t>
  </si>
  <si>
    <t xml:space="preserve">Avg Cash (KSh B)</t>
  </si>
  <si>
    <t xml:space="preserve">Max Cash (KSh B)</t>
  </si>
  <si>
    <t xml:space="preserve">Min Cash (KSh B)</t>
  </si>
  <si>
    <t xml:space="preserve">Avg Private Credit (KSh B)</t>
  </si>
  <si>
    <t xml:space="preserve">Max Private Credit (KSh B)</t>
  </si>
  <si>
    <t xml:space="preserve">Min Private Credit (KSh B)</t>
  </si>
  <si>
    <t xml:space="preserve">Total Cash Growth (Jan 25 – Feb 26)</t>
  </si>
  <si>
    <t xml:space="preserve">Total Private Credit Growth (Jan-25 – Feb-26) </t>
  </si>
  <si>
    <t xml:space="preserve">Avg Cash as % of Liquid Money </t>
  </si>
  <si>
    <t xml:space="preserve">Source: Central Bank of Kenya, Monthly Economic Indicators – Feb 2026</t>
  </si>
  <si>
    <t xml:space="preserve">Source: Central Bank of Kenya, Monthly Economic Indicators </t>
  </si>
  <si>
    <t xml:space="preserve">Date</t>
  </si>
  <si>
    <t xml:space="preserve">Indicator</t>
  </si>
  <si>
    <t xml:space="preserve">Value</t>
  </si>
  <si>
    <t xml:space="preserve">Unit</t>
  </si>
  <si>
    <t xml:space="preserve">Category</t>
  </si>
  <si>
    <t xml:space="preserve">Money Supply M3</t>
  </si>
  <si>
    <t xml:space="preserve">KSh Billion</t>
  </si>
  <si>
    <t xml:space="preserve">Money Supply</t>
  </si>
  <si>
    <t xml:space="preserve">Currency Outside Banks</t>
  </si>
  <si>
    <t xml:space="preserve">Cash</t>
  </si>
  <si>
    <t xml:space="preserve">Demand Deposits</t>
  </si>
  <si>
    <t xml:space="preserve">Deposits</t>
  </si>
  <si>
    <t xml:space="preserve">Private Sector Credit</t>
  </si>
  <si>
    <t xml:space="preserve">Credit</t>
  </si>
  <si>
    <t xml:space="preserve">Cash as % of M3</t>
  </si>
  <si>
    <t xml:space="preserve">Percent</t>
  </si>
  <si>
    <t xml:space="preserve">Ratio</t>
  </si>
  <si>
    <t xml:space="preserve">Cash as % of Liquid Money</t>
  </si>
  <si>
    <t xml:space="preserve">Cash MoM Change</t>
  </si>
  <si>
    <t xml:space="preserve">Monthly Change</t>
  </si>
  <si>
    <t xml:space="preserve">Private Credit MoM Change</t>
  </si>
  <si>
    <t xml:space="preserve">Sector</t>
  </si>
  <si>
    <t xml:space="preserve">Credit_Value</t>
  </si>
  <si>
    <t xml:space="preserve">Agriculture</t>
  </si>
  <si>
    <t xml:space="preserve">Manufacturing</t>
  </si>
  <si>
    <t xml:space="preserve">Trade</t>
  </si>
  <si>
    <t xml:space="preserve">Building and Construction</t>
  </si>
  <si>
    <t xml:space="preserve">Transport and Communications</t>
  </si>
  <si>
    <t xml:space="preserve">Finance and Insurance</t>
  </si>
  <si>
    <t xml:space="preserve">Real Estate</t>
  </si>
  <si>
    <t xml:space="preserve">Mining and Quarrying</t>
  </si>
  <si>
    <t xml:space="preserve">Private Households</t>
  </si>
  <si>
    <t xml:space="preserve">Consumer Durables</t>
  </si>
  <si>
    <t xml:space="preserve">Business Services</t>
  </si>
  <si>
    <t xml:space="preserve">Other Activities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</si>
</sst>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0.0"/>
    <numFmt numFmtId="167" formatCode="0.00%"/>
    <numFmt numFmtId="168" formatCode="#,##0.00"/>
    <numFmt numFmtId="169" formatCode="yyyy\-mm\-dd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1"/>
      <name val="Times New Roman"/>
      <family val="1"/>
    </font>
    <font>
      <b val="true"/>
      <sz val="12"/>
      <name val="Times New Roman"/>
      <family val="1"/>
    </font>
    <font>
      <b val="true"/>
      <sz val="11"/>
      <name val="Times New Roman"/>
      <family val="1"/>
    </font>
    <font>
      <b val="true"/>
      <sz val="11"/>
      <color rgb="FFFF0000"/>
      <name val="Times New Roman"/>
      <family val="1"/>
    </font>
    <font>
      <i val="true"/>
      <sz val="11"/>
      <name val="Times New Roman"/>
      <family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0.45"/>
    <col collapsed="false" customWidth="false" hidden="false" outlineLevel="0" max="14" min="2" style="1" width="11.53"/>
    <col collapsed="false" customWidth="false" hidden="false" outlineLevel="0" max="15" min="15" style="2" width="11.53"/>
    <col collapsed="false" customWidth="false" hidden="false" outlineLevel="0" max="16384" min="16" style="1" width="11.53"/>
  </cols>
  <sheetData>
    <row r="1" customFormat="false" ht="33.5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3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customFormat="false" ht="13.8" hidden="false" customHeight="false" outlineLevel="0" collapsed="false">
      <c r="A3" s="4" t="s">
        <v>16</v>
      </c>
      <c r="B3" s="6" t="n">
        <v>5473.7</v>
      </c>
      <c r="C3" s="6" t="n">
        <v>5503.8</v>
      </c>
      <c r="D3" s="6" t="n">
        <v>5516.6</v>
      </c>
      <c r="E3" s="6" t="n">
        <v>5595.4</v>
      </c>
      <c r="F3" s="6" t="n">
        <v>5683.5</v>
      </c>
      <c r="G3" s="6" t="n">
        <v>5786.5</v>
      </c>
      <c r="H3" s="6" t="n">
        <v>5806.1</v>
      </c>
      <c r="I3" s="6" t="n">
        <v>5759.6</v>
      </c>
      <c r="J3" s="6" t="n">
        <v>5761.1</v>
      </c>
      <c r="K3" s="6" t="n">
        <v>5796.4</v>
      </c>
      <c r="L3" s="6" t="n">
        <v>5913.6</v>
      </c>
      <c r="M3" s="6" t="n">
        <v>6029.3</v>
      </c>
      <c r="N3" s="6" t="n">
        <v>6033.7</v>
      </c>
      <c r="O3" s="7" t="n">
        <v>6133.9</v>
      </c>
    </row>
    <row r="4" customFormat="false" ht="25.35" hidden="false" customHeight="false" outlineLevel="0" collapsed="false">
      <c r="A4" s="4" t="s">
        <v>17</v>
      </c>
      <c r="B4" s="6" t="n">
        <v>280.8</v>
      </c>
      <c r="C4" s="6" t="n">
        <v>282.5</v>
      </c>
      <c r="D4" s="6" t="n">
        <v>285.4</v>
      </c>
      <c r="E4" s="6" t="n">
        <v>282.8</v>
      </c>
      <c r="F4" s="6" t="n">
        <v>283.4</v>
      </c>
      <c r="G4" s="6" t="n">
        <v>286</v>
      </c>
      <c r="H4" s="6" t="n">
        <v>296.2</v>
      </c>
      <c r="I4" s="6" t="n">
        <v>291.5</v>
      </c>
      <c r="J4" s="6" t="n">
        <v>292.5</v>
      </c>
      <c r="K4" s="6" t="n">
        <v>306.7</v>
      </c>
      <c r="L4" s="6" t="n">
        <v>312.2</v>
      </c>
      <c r="M4" s="6" t="n">
        <v>323.2</v>
      </c>
      <c r="N4" s="6" t="n">
        <v>308.1</v>
      </c>
      <c r="O4" s="7" t="n">
        <v>314.5</v>
      </c>
    </row>
    <row r="5" customFormat="false" ht="13.8" hidden="false" customHeight="false" outlineLevel="0" collapsed="false">
      <c r="A5" s="4" t="s">
        <v>18</v>
      </c>
      <c r="B5" s="6" t="n">
        <v>1737.5</v>
      </c>
      <c r="C5" s="6" t="n">
        <v>1734</v>
      </c>
      <c r="D5" s="6" t="n">
        <v>1724.8</v>
      </c>
      <c r="E5" s="6" t="n">
        <v>1782.9</v>
      </c>
      <c r="F5" s="6" t="n">
        <v>1807.8</v>
      </c>
      <c r="G5" s="6" t="n">
        <v>1880.4</v>
      </c>
      <c r="H5" s="6" t="n">
        <v>1909.2</v>
      </c>
      <c r="I5" s="6" t="n">
        <v>1910.1</v>
      </c>
      <c r="J5" s="6" t="n">
        <v>1930.4</v>
      </c>
      <c r="K5" s="6" t="n">
        <v>1912.5</v>
      </c>
      <c r="L5" s="6" t="n">
        <v>1952.2</v>
      </c>
      <c r="M5" s="6" t="n">
        <v>1970</v>
      </c>
      <c r="N5" s="6" t="n">
        <v>1965.9</v>
      </c>
      <c r="O5" s="8" t="n">
        <v>2037</v>
      </c>
    </row>
    <row r="6" customFormat="false" ht="13.8" hidden="false" customHeight="false" outlineLevel="0" collapsed="false">
      <c r="A6" s="4" t="s">
        <v>19</v>
      </c>
      <c r="B6" s="6" t="n">
        <v>3808.5</v>
      </c>
      <c r="C6" s="6" t="n">
        <v>3802.1</v>
      </c>
      <c r="D6" s="6" t="n">
        <v>3837.6</v>
      </c>
      <c r="E6" s="6" t="n">
        <v>3867.9</v>
      </c>
      <c r="F6" s="6" t="n">
        <v>3870.2</v>
      </c>
      <c r="G6" s="6" t="n">
        <v>3880.9</v>
      </c>
      <c r="H6" s="6" t="n">
        <v>3903.1</v>
      </c>
      <c r="I6" s="6" t="n">
        <v>3900.5</v>
      </c>
      <c r="J6" s="6" t="n">
        <v>3979.8</v>
      </c>
      <c r="K6" s="6" t="n">
        <v>4039</v>
      </c>
      <c r="L6" s="6" t="n">
        <v>4053.9</v>
      </c>
      <c r="M6" s="6" t="n">
        <v>4085.8</v>
      </c>
      <c r="N6" s="6" t="n">
        <v>4054</v>
      </c>
      <c r="O6" s="7" t="n">
        <v>4081.7</v>
      </c>
    </row>
    <row r="7" customFormat="false" ht="13.8" hidden="false" customHeight="false" outlineLevel="0" collapsed="false">
      <c r="A7" s="9" t="s">
        <v>20</v>
      </c>
      <c r="B7" s="10" t="n">
        <f aca="false">B4/B3</f>
        <v>0.0512998520196576</v>
      </c>
      <c r="C7" s="10" t="n">
        <f aca="false">C4/C3</f>
        <v>0.0513281732621098</v>
      </c>
      <c r="D7" s="10" t="n">
        <f aca="false">D4/D3</f>
        <v>0.0517347641663343</v>
      </c>
      <c r="E7" s="10" t="n">
        <f aca="false">E4/E3</f>
        <v>0.0505415162454874</v>
      </c>
      <c r="F7" s="10" t="n">
        <f aca="false">F4/F3</f>
        <v>0.0498636403624527</v>
      </c>
      <c r="G7" s="10" t="n">
        <f aca="false">G4/G3</f>
        <v>0.0494253866758835</v>
      </c>
      <c r="H7" s="10" t="n">
        <f aca="false">H4/H3</f>
        <v>0.0510153114827509</v>
      </c>
      <c r="I7" s="10" t="n">
        <f aca="false">I4/I3</f>
        <v>0.05061115355233</v>
      </c>
      <c r="J7" s="10" t="n">
        <f aca="false">J4/J3</f>
        <v>0.0507715540434986</v>
      </c>
      <c r="K7" s="10" t="n">
        <f aca="false">K4/K3</f>
        <v>0.0529121523704368</v>
      </c>
      <c r="L7" s="10" t="n">
        <f aca="false">L4/L3</f>
        <v>0.0527935606060606</v>
      </c>
      <c r="M7" s="10" t="n">
        <f aca="false">M4/M3</f>
        <v>0.0536048960907568</v>
      </c>
      <c r="N7" s="10" t="n">
        <f aca="false">N4/N3</f>
        <v>0.0510631950544442</v>
      </c>
      <c r="O7" s="10" t="n">
        <f aca="false">O4/O3</f>
        <v>0.0512724367857318</v>
      </c>
    </row>
    <row r="8" customFormat="false" ht="25.35" hidden="false" customHeight="false" outlineLevel="0" collapsed="false">
      <c r="A8" s="9" t="s">
        <v>21</v>
      </c>
      <c r="B8" s="10"/>
      <c r="C8" s="11" t="n">
        <f aca="false">(C4-B4)/B4</f>
        <v>0.00605413105413101</v>
      </c>
      <c r="D8" s="11" t="n">
        <f aca="false">(D4-C4)/C4</f>
        <v>0.0102654867256636</v>
      </c>
      <c r="E8" s="11" t="n">
        <f aca="false">(E4-D4)/D4</f>
        <v>-0.00911002102312532</v>
      </c>
      <c r="F8" s="11" t="n">
        <f aca="false">(F4-E4)/E4</f>
        <v>0.002121640735502</v>
      </c>
      <c r="G8" s="11" t="n">
        <f aca="false">(G4-F4)/F4</f>
        <v>0.00917431192660559</v>
      </c>
      <c r="H8" s="11" t="n">
        <f aca="false">(H4-G4)/G4</f>
        <v>0.0356643356643356</v>
      </c>
      <c r="I8" s="11" t="n">
        <f aca="false">(I4-H4)/H4</f>
        <v>-0.0158676569885212</v>
      </c>
      <c r="J8" s="11" t="n">
        <f aca="false">(J4-I4)/I4</f>
        <v>0.00343053173241853</v>
      </c>
      <c r="K8" s="11" t="n">
        <f aca="false">(K4-J4)/J4</f>
        <v>0.0485470085470085</v>
      </c>
      <c r="L8" s="11" t="n">
        <f aca="false">(L4-K4)/K4</f>
        <v>0.0179328333876753</v>
      </c>
      <c r="M8" s="11" t="n">
        <f aca="false">(M4-L4)/L4</f>
        <v>0.0352338244714926</v>
      </c>
      <c r="N8" s="11" t="n">
        <f aca="false">(N4-M4)/M4</f>
        <v>-0.0467202970297029</v>
      </c>
      <c r="O8" s="11" t="n">
        <f aca="false">(O4-N4)/N4</f>
        <v>0.0207724764686789</v>
      </c>
    </row>
    <row r="9" customFormat="false" ht="25.35" hidden="false" customHeight="false" outlineLevel="0" collapsed="false">
      <c r="A9" s="12" t="s">
        <v>22</v>
      </c>
      <c r="B9" s="13"/>
      <c r="C9" s="11" t="n">
        <f aca="false">(C6-B6)/B6</f>
        <v>-0.00168045162137327</v>
      </c>
      <c r="D9" s="11" t="n">
        <f aca="false">(D6-C6)/C6</f>
        <v>0.00933694537229426</v>
      </c>
      <c r="E9" s="11" t="n">
        <f aca="false">(E6-D6)/D6</f>
        <v>0.00789555972482807</v>
      </c>
      <c r="F9" s="11" t="n">
        <f aca="false">(F6-E6)/E6</f>
        <v>0.00059463791721599</v>
      </c>
      <c r="G9" s="11" t="n">
        <f aca="false">(G6-F6)/F6</f>
        <v>0.00276471500180876</v>
      </c>
      <c r="H9" s="11" t="n">
        <f aca="false">(H6-G6)/G6</f>
        <v>0.00572032260558113</v>
      </c>
      <c r="I9" s="11" t="n">
        <f aca="false">(I6-H6)/H6</f>
        <v>-0.000666137173016297</v>
      </c>
      <c r="J9" s="11" t="n">
        <f aca="false">(J6-I6)/I6</f>
        <v>0.0203307268298937</v>
      </c>
      <c r="K9" s="11" t="n">
        <f aca="false">(K6-J6)/J6</f>
        <v>0.0148751193527312</v>
      </c>
      <c r="L9" s="11" t="n">
        <f aca="false">(L6-K6)/K6</f>
        <v>0.00368903193859869</v>
      </c>
      <c r="M9" s="11" t="n">
        <f aca="false">(M6-L6)/L6</f>
        <v>0.00786896568736281</v>
      </c>
      <c r="N9" s="11" t="n">
        <f aca="false">(N6-M6)/M6</f>
        <v>-0.00778305350237412</v>
      </c>
      <c r="O9" s="11" t="n">
        <f aca="false">(O6-N6)/N6</f>
        <v>0.00683275777010356</v>
      </c>
    </row>
    <row r="10" customFormat="false" ht="25.35" hidden="false" customHeight="false" outlineLevel="0" collapsed="false">
      <c r="A10" s="9" t="s">
        <v>23</v>
      </c>
      <c r="B10" s="11" t="n">
        <f aca="false">B4/(B4+B5)</f>
        <v>0.139126988059258</v>
      </c>
      <c r="C10" s="11" t="n">
        <f aca="false">C4/(C4+C5)</f>
        <v>0.14009422266303</v>
      </c>
      <c r="D10" s="11" t="n">
        <f aca="false">D4/(D4+D5)</f>
        <v>0.141975922793752</v>
      </c>
      <c r="E10" s="11" t="n">
        <f aca="false">E4/(E4+E5)</f>
        <v>0.13690274483226</v>
      </c>
      <c r="F10" s="11" t="n">
        <f aca="false">F4/(F4+F5)</f>
        <v>0.135520275439939</v>
      </c>
      <c r="G10" s="11" t="n">
        <f aca="false">G4/(G4+G5)</f>
        <v>0.132016248153619</v>
      </c>
      <c r="H10" s="11" t="n">
        <f aca="false">H4/(H4+H5)</f>
        <v>0.134306701732112</v>
      </c>
      <c r="I10" s="11" t="n">
        <f aca="false">I4/(I4+I5)</f>
        <v>0.132403706395349</v>
      </c>
      <c r="J10" s="11" t="n">
        <f aca="false">J4/(J4+J5)</f>
        <v>0.131584866615682</v>
      </c>
      <c r="K10" s="11" t="n">
        <f aca="false">K4/(K4+K5)</f>
        <v>0.138202956020187</v>
      </c>
      <c r="L10" s="11" t="n">
        <f aca="false">L4/(L4+L5)</f>
        <v>0.137873167284932</v>
      </c>
      <c r="M10" s="11" t="n">
        <f aca="false">M4/(M4+M5)</f>
        <v>0.140938426652712</v>
      </c>
      <c r="N10" s="11" t="n">
        <f aca="false">N4/(N4+N5)</f>
        <v>0.135488126649077</v>
      </c>
      <c r="O10" s="11" t="n">
        <f aca="false">O4/(O4+O5)</f>
        <v>0.133744418456305</v>
      </c>
    </row>
    <row r="11" customFormat="false" ht="13.8" hidden="false" customHeight="false" outlineLevel="0" collapsed="false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customFormat="false" ht="13.8" hidden="false" customHeight="false" outlineLevel="0" collapsed="false">
      <c r="A12" s="16" t="s">
        <v>24</v>
      </c>
      <c r="B12" s="17"/>
      <c r="C12" s="17"/>
    </row>
    <row r="13" customFormat="false" ht="13.8" hidden="false" customHeight="false" outlineLevel="0" collapsed="false">
      <c r="A13" s="9" t="s">
        <v>25</v>
      </c>
      <c r="B13" s="18" t="n">
        <f aca="false">AVERAGE(B4:O4)</f>
        <v>296.128571428571</v>
      </c>
      <c r="C13" s="19"/>
    </row>
    <row r="14" customFormat="false" ht="13.8" hidden="false" customHeight="false" outlineLevel="0" collapsed="false">
      <c r="A14" s="9" t="s">
        <v>26</v>
      </c>
      <c r="B14" s="6" t="n">
        <f aca="false">MAX(B4:O4)</f>
        <v>323.2</v>
      </c>
      <c r="C14" s="19"/>
    </row>
    <row r="15" customFormat="false" ht="13.8" hidden="false" customHeight="false" outlineLevel="0" collapsed="false">
      <c r="A15" s="9" t="s">
        <v>27</v>
      </c>
      <c r="B15" s="6" t="n">
        <f aca="false">MIN(B4:O4)</f>
        <v>280.8</v>
      </c>
      <c r="C15" s="19"/>
    </row>
    <row r="16" customFormat="false" ht="25.35" hidden="false" customHeight="false" outlineLevel="0" collapsed="false">
      <c r="A16" s="9" t="s">
        <v>28</v>
      </c>
      <c r="B16" s="20" t="n">
        <f aca="false">AVERAGE(B6:O6)</f>
        <v>3940.35714285714</v>
      </c>
      <c r="C16" s="19"/>
    </row>
    <row r="17" customFormat="false" ht="25.35" hidden="false" customHeight="false" outlineLevel="0" collapsed="false">
      <c r="A17" s="9" t="s">
        <v>29</v>
      </c>
      <c r="B17" s="6" t="n">
        <f aca="false">MAX(B6:O6)</f>
        <v>4085.8</v>
      </c>
      <c r="C17" s="19"/>
    </row>
    <row r="18" customFormat="false" ht="25.35" hidden="false" customHeight="false" outlineLevel="0" collapsed="false">
      <c r="A18" s="9" t="s">
        <v>30</v>
      </c>
      <c r="B18" s="6" t="n">
        <f aca="false">MIN(B6:O6)</f>
        <v>3802.1</v>
      </c>
      <c r="C18" s="19"/>
    </row>
    <row r="19" customFormat="false" ht="25.35" hidden="false" customHeight="false" outlineLevel="0" collapsed="false">
      <c r="A19" s="9" t="s">
        <v>31</v>
      </c>
      <c r="B19" s="21" t="n">
        <f aca="false">(O4-B4)/B4</f>
        <v>0.120014245014245</v>
      </c>
    </row>
    <row r="20" customFormat="false" ht="37.3" hidden="false" customHeight="false" outlineLevel="0" collapsed="false">
      <c r="A20" s="9" t="s">
        <v>32</v>
      </c>
      <c r="B20" s="21" t="n">
        <f aca="false">(O6-B6)/B6</f>
        <v>0.0717342785873703</v>
      </c>
    </row>
    <row r="21" customFormat="false" ht="25.35" hidden="false" customHeight="false" outlineLevel="0" collapsed="false">
      <c r="A21" s="22" t="s">
        <v>33</v>
      </c>
      <c r="B21" s="23" t="n">
        <f aca="false">AVERAGE(B10:O10)</f>
        <v>0.136441340839158</v>
      </c>
    </row>
    <row r="24" customFormat="false" ht="13.8" hidden="false" customHeight="false" outlineLevel="0" collapsed="false">
      <c r="A24" s="24" t="s">
        <v>34</v>
      </c>
      <c r="B24" s="24" t="s">
        <v>35</v>
      </c>
      <c r="C24" s="24" t="s">
        <v>35</v>
      </c>
      <c r="D24" s="24" t="s">
        <v>35</v>
      </c>
      <c r="E24" s="24" t="s">
        <v>35</v>
      </c>
      <c r="F24" s="24" t="s">
        <v>35</v>
      </c>
      <c r="G24" s="24" t="s">
        <v>35</v>
      </c>
      <c r="H24" s="24" t="s">
        <v>35</v>
      </c>
      <c r="I24" s="24" t="s">
        <v>35</v>
      </c>
      <c r="J24" s="24" t="s">
        <v>35</v>
      </c>
      <c r="K24" s="24" t="s">
        <v>35</v>
      </c>
      <c r="L24" s="24" t="s">
        <v>35</v>
      </c>
      <c r="M24" s="24" t="s">
        <v>35</v>
      </c>
      <c r="N24" s="24" t="s">
        <v>35</v>
      </c>
    </row>
  </sheetData>
  <mergeCells count="2">
    <mergeCell ref="A1:O1"/>
    <mergeCell ref="A24:N2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3" activeCellId="0" sqref="G113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" min="1" style="25" width="11.53"/>
    <col collapsed="false" customWidth="true" hidden="false" outlineLevel="0" max="2" min="2" style="26" width="28.66"/>
    <col collapsed="false" customWidth="true" hidden="false" outlineLevel="0" max="3" min="3" style="26" width="12.38"/>
    <col collapsed="false" customWidth="true" hidden="false" outlineLevel="0" max="4" min="4" style="26" width="17.8"/>
    <col collapsed="false" customWidth="true" hidden="false" outlineLevel="0" max="5" min="5" style="26" width="24.49"/>
    <col collapsed="false" customWidth="false" hidden="false" outlineLevel="0" max="16384" min="6" style="25" width="11.53"/>
  </cols>
  <sheetData>
    <row r="1" customFormat="false" ht="13.8" hidden="false" customHeight="false" outlineLevel="0" collapsed="false">
      <c r="A1" s="27" t="s">
        <v>36</v>
      </c>
      <c r="B1" s="28" t="s">
        <v>37</v>
      </c>
      <c r="C1" s="28" t="s">
        <v>38</v>
      </c>
      <c r="D1" s="28" t="s">
        <v>39</v>
      </c>
      <c r="E1" s="28" t="s">
        <v>40</v>
      </c>
    </row>
    <row r="2" customFormat="false" ht="13.8" hidden="false" customHeight="false" outlineLevel="0" collapsed="false">
      <c r="A2" s="29" t="n">
        <v>45658</v>
      </c>
      <c r="B2" s="30" t="s">
        <v>41</v>
      </c>
      <c r="C2" s="30" t="n">
        <v>5473.7</v>
      </c>
      <c r="D2" s="30" t="s">
        <v>42</v>
      </c>
      <c r="E2" s="30" t="s">
        <v>43</v>
      </c>
    </row>
    <row r="3" customFormat="false" ht="13.8" hidden="false" customHeight="false" outlineLevel="0" collapsed="false">
      <c r="A3" s="29" t="n">
        <v>45658</v>
      </c>
      <c r="B3" s="30" t="s">
        <v>44</v>
      </c>
      <c r="C3" s="30" t="n">
        <v>280.8</v>
      </c>
      <c r="D3" s="30" t="s">
        <v>42</v>
      </c>
      <c r="E3" s="30" t="s">
        <v>45</v>
      </c>
    </row>
    <row r="4" customFormat="false" ht="13.8" hidden="false" customHeight="false" outlineLevel="0" collapsed="false">
      <c r="A4" s="29" t="n">
        <v>45658</v>
      </c>
      <c r="B4" s="30" t="s">
        <v>46</v>
      </c>
      <c r="C4" s="30" t="n">
        <v>1737.5</v>
      </c>
      <c r="D4" s="30" t="s">
        <v>42</v>
      </c>
      <c r="E4" s="30" t="s">
        <v>47</v>
      </c>
    </row>
    <row r="5" customFormat="false" ht="13.8" hidden="false" customHeight="false" outlineLevel="0" collapsed="false">
      <c r="A5" s="31" t="n">
        <v>45658</v>
      </c>
      <c r="B5" s="32" t="s">
        <v>48</v>
      </c>
      <c r="C5" s="32" t="n">
        <v>3808.5</v>
      </c>
      <c r="D5" s="32" t="s">
        <v>42</v>
      </c>
      <c r="E5" s="32" t="s">
        <v>49</v>
      </c>
    </row>
    <row r="6" customFormat="false" ht="13.8" hidden="false" customHeight="false" outlineLevel="0" collapsed="false">
      <c r="A6" s="31" t="n">
        <v>45658</v>
      </c>
      <c r="B6" s="32" t="s">
        <v>50</v>
      </c>
      <c r="C6" s="32" t="n">
        <v>5.13</v>
      </c>
      <c r="D6" s="32" t="s">
        <v>51</v>
      </c>
      <c r="E6" s="32" t="s">
        <v>52</v>
      </c>
    </row>
    <row r="7" customFormat="false" ht="13.8" hidden="false" customHeight="false" outlineLevel="0" collapsed="false">
      <c r="A7" s="31" t="n">
        <v>45658</v>
      </c>
      <c r="B7" s="32" t="s">
        <v>53</v>
      </c>
      <c r="C7" s="32" t="n">
        <v>13.91</v>
      </c>
      <c r="D7" s="32" t="s">
        <v>51</v>
      </c>
      <c r="E7" s="32" t="s">
        <v>52</v>
      </c>
    </row>
    <row r="8" customFormat="false" ht="13.8" hidden="false" customHeight="false" outlineLevel="0" collapsed="false">
      <c r="A8" s="31" t="n">
        <v>45689</v>
      </c>
      <c r="B8" s="32" t="s">
        <v>41</v>
      </c>
      <c r="C8" s="32" t="n">
        <v>5503.8</v>
      </c>
      <c r="D8" s="32" t="s">
        <v>42</v>
      </c>
      <c r="E8" s="32" t="s">
        <v>43</v>
      </c>
    </row>
    <row r="9" customFormat="false" ht="13.8" hidden="false" customHeight="false" outlineLevel="0" collapsed="false">
      <c r="A9" s="31" t="n">
        <v>45689</v>
      </c>
      <c r="B9" s="32" t="s">
        <v>44</v>
      </c>
      <c r="C9" s="32" t="n">
        <v>282.5</v>
      </c>
      <c r="D9" s="32" t="s">
        <v>42</v>
      </c>
      <c r="E9" s="32" t="s">
        <v>45</v>
      </c>
    </row>
    <row r="10" customFormat="false" ht="13.8" hidden="false" customHeight="false" outlineLevel="0" collapsed="false">
      <c r="A10" s="31" t="n">
        <v>45689</v>
      </c>
      <c r="B10" s="32" t="s">
        <v>46</v>
      </c>
      <c r="C10" s="32" t="n">
        <v>1734</v>
      </c>
      <c r="D10" s="32" t="s">
        <v>42</v>
      </c>
      <c r="E10" s="32" t="s">
        <v>47</v>
      </c>
    </row>
    <row r="11" customFormat="false" ht="13.8" hidden="false" customHeight="false" outlineLevel="0" collapsed="false">
      <c r="A11" s="31" t="n">
        <v>45689</v>
      </c>
      <c r="B11" s="32" t="s">
        <v>48</v>
      </c>
      <c r="C11" s="32" t="n">
        <v>3802.1</v>
      </c>
      <c r="D11" s="32" t="s">
        <v>42</v>
      </c>
      <c r="E11" s="32" t="s">
        <v>49</v>
      </c>
    </row>
    <row r="12" customFormat="false" ht="13.8" hidden="false" customHeight="false" outlineLevel="0" collapsed="false">
      <c r="A12" s="31" t="n">
        <v>45689</v>
      </c>
      <c r="B12" s="32" t="s">
        <v>50</v>
      </c>
      <c r="C12" s="32" t="n">
        <v>5.13</v>
      </c>
      <c r="D12" s="32" t="s">
        <v>51</v>
      </c>
      <c r="E12" s="32" t="s">
        <v>52</v>
      </c>
    </row>
    <row r="13" customFormat="false" ht="13.8" hidden="false" customHeight="false" outlineLevel="0" collapsed="false">
      <c r="A13" s="31" t="n">
        <v>45689</v>
      </c>
      <c r="B13" s="32" t="s">
        <v>54</v>
      </c>
      <c r="C13" s="32" t="n">
        <v>0.61</v>
      </c>
      <c r="D13" s="32" t="s">
        <v>51</v>
      </c>
      <c r="E13" s="32" t="s">
        <v>55</v>
      </c>
    </row>
    <row r="14" customFormat="false" ht="13.8" hidden="false" customHeight="false" outlineLevel="0" collapsed="false">
      <c r="A14" s="31" t="n">
        <v>45689</v>
      </c>
      <c r="B14" s="32" t="s">
        <v>56</v>
      </c>
      <c r="C14" s="32" t="n">
        <v>-0.17</v>
      </c>
      <c r="D14" s="32" t="s">
        <v>51</v>
      </c>
      <c r="E14" s="32" t="s">
        <v>55</v>
      </c>
    </row>
    <row r="15" customFormat="false" ht="13.8" hidden="false" customHeight="false" outlineLevel="0" collapsed="false">
      <c r="A15" s="31" t="n">
        <v>45689</v>
      </c>
      <c r="B15" s="32" t="s">
        <v>53</v>
      </c>
      <c r="C15" s="32" t="n">
        <v>14.01</v>
      </c>
      <c r="D15" s="32" t="s">
        <v>51</v>
      </c>
      <c r="E15" s="32" t="s">
        <v>52</v>
      </c>
    </row>
    <row r="16" customFormat="false" ht="13.8" hidden="false" customHeight="false" outlineLevel="0" collapsed="false">
      <c r="A16" s="31" t="n">
        <v>45717</v>
      </c>
      <c r="B16" s="32" t="s">
        <v>41</v>
      </c>
      <c r="C16" s="32" t="n">
        <v>5516.6</v>
      </c>
      <c r="D16" s="32" t="s">
        <v>42</v>
      </c>
      <c r="E16" s="32" t="s">
        <v>43</v>
      </c>
    </row>
    <row r="17" customFormat="false" ht="13.8" hidden="false" customHeight="false" outlineLevel="0" collapsed="false">
      <c r="A17" s="31" t="n">
        <v>45717</v>
      </c>
      <c r="B17" s="32" t="s">
        <v>44</v>
      </c>
      <c r="C17" s="32" t="n">
        <v>285.4</v>
      </c>
      <c r="D17" s="32" t="s">
        <v>42</v>
      </c>
      <c r="E17" s="32" t="s">
        <v>45</v>
      </c>
    </row>
    <row r="18" customFormat="false" ht="13.8" hidden="false" customHeight="false" outlineLevel="0" collapsed="false">
      <c r="A18" s="31" t="n">
        <v>45717</v>
      </c>
      <c r="B18" s="32" t="s">
        <v>46</v>
      </c>
      <c r="C18" s="32" t="n">
        <v>1724.8</v>
      </c>
      <c r="D18" s="32" t="s">
        <v>42</v>
      </c>
      <c r="E18" s="32" t="s">
        <v>47</v>
      </c>
    </row>
    <row r="19" customFormat="false" ht="13.8" hidden="false" customHeight="false" outlineLevel="0" collapsed="false">
      <c r="A19" s="31" t="n">
        <v>45717</v>
      </c>
      <c r="B19" s="32" t="s">
        <v>48</v>
      </c>
      <c r="C19" s="32" t="n">
        <v>3837.6</v>
      </c>
      <c r="D19" s="32" t="s">
        <v>42</v>
      </c>
      <c r="E19" s="32" t="s">
        <v>49</v>
      </c>
    </row>
    <row r="20" customFormat="false" ht="13.8" hidden="false" customHeight="false" outlineLevel="0" collapsed="false">
      <c r="A20" s="31" t="n">
        <v>45717</v>
      </c>
      <c r="B20" s="32" t="s">
        <v>50</v>
      </c>
      <c r="C20" s="32" t="n">
        <v>5.17</v>
      </c>
      <c r="D20" s="32" t="s">
        <v>51</v>
      </c>
      <c r="E20" s="32" t="s">
        <v>52</v>
      </c>
    </row>
    <row r="21" customFormat="false" ht="13.8" hidden="false" customHeight="false" outlineLevel="0" collapsed="false">
      <c r="A21" s="31" t="n">
        <v>45717</v>
      </c>
      <c r="B21" s="32" t="s">
        <v>54</v>
      </c>
      <c r="C21" s="32" t="n">
        <v>1.03</v>
      </c>
      <c r="D21" s="32" t="s">
        <v>51</v>
      </c>
      <c r="E21" s="32" t="s">
        <v>55</v>
      </c>
    </row>
    <row r="22" customFormat="false" ht="13.8" hidden="false" customHeight="false" outlineLevel="0" collapsed="false">
      <c r="A22" s="31" t="n">
        <v>45717</v>
      </c>
      <c r="B22" s="32" t="s">
        <v>56</v>
      </c>
      <c r="C22" s="32" t="n">
        <v>0.93</v>
      </c>
      <c r="D22" s="32" t="s">
        <v>51</v>
      </c>
      <c r="E22" s="32" t="s">
        <v>55</v>
      </c>
    </row>
    <row r="23" customFormat="false" ht="13.8" hidden="false" customHeight="false" outlineLevel="0" collapsed="false">
      <c r="A23" s="31" t="n">
        <v>45717</v>
      </c>
      <c r="B23" s="32" t="s">
        <v>53</v>
      </c>
      <c r="C23" s="32" t="n">
        <v>14.2</v>
      </c>
      <c r="D23" s="32" t="s">
        <v>51</v>
      </c>
      <c r="E23" s="32" t="s">
        <v>52</v>
      </c>
    </row>
    <row r="24" customFormat="false" ht="13.8" hidden="false" customHeight="false" outlineLevel="0" collapsed="false">
      <c r="A24" s="31" t="n">
        <v>45748</v>
      </c>
      <c r="B24" s="32" t="s">
        <v>41</v>
      </c>
      <c r="C24" s="32" t="n">
        <v>5595.4</v>
      </c>
      <c r="D24" s="32" t="s">
        <v>42</v>
      </c>
      <c r="E24" s="32" t="s">
        <v>43</v>
      </c>
    </row>
    <row r="25" customFormat="false" ht="13.8" hidden="false" customHeight="false" outlineLevel="0" collapsed="false">
      <c r="A25" s="31" t="n">
        <v>45748</v>
      </c>
      <c r="B25" s="32" t="s">
        <v>44</v>
      </c>
      <c r="C25" s="32" t="n">
        <v>282.8</v>
      </c>
      <c r="D25" s="32" t="s">
        <v>42</v>
      </c>
      <c r="E25" s="32" t="s">
        <v>45</v>
      </c>
    </row>
    <row r="26" customFormat="false" ht="13.8" hidden="false" customHeight="false" outlineLevel="0" collapsed="false">
      <c r="A26" s="31" t="n">
        <v>45748</v>
      </c>
      <c r="B26" s="32" t="s">
        <v>46</v>
      </c>
      <c r="C26" s="32" t="n">
        <v>1782.9</v>
      </c>
      <c r="D26" s="32" t="s">
        <v>42</v>
      </c>
      <c r="E26" s="32" t="s">
        <v>47</v>
      </c>
    </row>
    <row r="27" customFormat="false" ht="13.8" hidden="false" customHeight="false" outlineLevel="0" collapsed="false">
      <c r="A27" s="31" t="n">
        <v>45748</v>
      </c>
      <c r="B27" s="32" t="s">
        <v>48</v>
      </c>
      <c r="C27" s="32" t="n">
        <v>3867.9</v>
      </c>
      <c r="D27" s="32" t="s">
        <v>42</v>
      </c>
      <c r="E27" s="32" t="s">
        <v>49</v>
      </c>
    </row>
    <row r="28" customFormat="false" ht="13.8" hidden="false" customHeight="false" outlineLevel="0" collapsed="false">
      <c r="A28" s="31" t="n">
        <v>45748</v>
      </c>
      <c r="B28" s="32" t="s">
        <v>50</v>
      </c>
      <c r="C28" s="32" t="n">
        <v>5.05</v>
      </c>
      <c r="D28" s="32" t="s">
        <v>51</v>
      </c>
      <c r="E28" s="32" t="s">
        <v>52</v>
      </c>
    </row>
    <row r="29" customFormat="false" ht="13.8" hidden="false" customHeight="false" outlineLevel="0" collapsed="false">
      <c r="A29" s="31" t="n">
        <v>45748</v>
      </c>
      <c r="B29" s="32" t="s">
        <v>54</v>
      </c>
      <c r="C29" s="32" t="n">
        <v>-0.91</v>
      </c>
      <c r="D29" s="32" t="s">
        <v>51</v>
      </c>
      <c r="E29" s="32" t="s">
        <v>55</v>
      </c>
    </row>
    <row r="30" customFormat="false" ht="13.8" hidden="false" customHeight="false" outlineLevel="0" collapsed="false">
      <c r="A30" s="31" t="n">
        <v>45748</v>
      </c>
      <c r="B30" s="32" t="s">
        <v>56</v>
      </c>
      <c r="C30" s="32" t="n">
        <v>0.79</v>
      </c>
      <c r="D30" s="32" t="s">
        <v>51</v>
      </c>
      <c r="E30" s="32" t="s">
        <v>55</v>
      </c>
    </row>
    <row r="31" customFormat="false" ht="13.8" hidden="false" customHeight="false" outlineLevel="0" collapsed="false">
      <c r="A31" s="31" t="n">
        <v>45748</v>
      </c>
      <c r="B31" s="32" t="s">
        <v>53</v>
      </c>
      <c r="C31" s="32" t="n">
        <v>13.69</v>
      </c>
      <c r="D31" s="32" t="s">
        <v>51</v>
      </c>
      <c r="E31" s="32" t="s">
        <v>52</v>
      </c>
    </row>
    <row r="32" customFormat="false" ht="13.8" hidden="false" customHeight="false" outlineLevel="0" collapsed="false">
      <c r="A32" s="31" t="n">
        <v>45778</v>
      </c>
      <c r="B32" s="32" t="s">
        <v>41</v>
      </c>
      <c r="C32" s="32" t="n">
        <v>5683.5</v>
      </c>
      <c r="D32" s="32" t="s">
        <v>42</v>
      </c>
      <c r="E32" s="32" t="s">
        <v>43</v>
      </c>
    </row>
    <row r="33" customFormat="false" ht="13.8" hidden="false" customHeight="false" outlineLevel="0" collapsed="false">
      <c r="A33" s="31" t="n">
        <v>45778</v>
      </c>
      <c r="B33" s="32" t="s">
        <v>44</v>
      </c>
      <c r="C33" s="32" t="n">
        <v>283.4</v>
      </c>
      <c r="D33" s="32" t="s">
        <v>42</v>
      </c>
      <c r="E33" s="32" t="s">
        <v>45</v>
      </c>
    </row>
    <row r="34" customFormat="false" ht="13.8" hidden="false" customHeight="false" outlineLevel="0" collapsed="false">
      <c r="A34" s="31" t="n">
        <v>45778</v>
      </c>
      <c r="B34" s="32" t="s">
        <v>46</v>
      </c>
      <c r="C34" s="32" t="n">
        <v>1807.8</v>
      </c>
      <c r="D34" s="32" t="s">
        <v>42</v>
      </c>
      <c r="E34" s="32" t="s">
        <v>47</v>
      </c>
    </row>
    <row r="35" customFormat="false" ht="13.8" hidden="false" customHeight="false" outlineLevel="0" collapsed="false">
      <c r="A35" s="31" t="n">
        <v>45778</v>
      </c>
      <c r="B35" s="32" t="s">
        <v>48</v>
      </c>
      <c r="C35" s="32" t="n">
        <v>3870.2</v>
      </c>
      <c r="D35" s="32" t="s">
        <v>42</v>
      </c>
      <c r="E35" s="32" t="s">
        <v>49</v>
      </c>
    </row>
    <row r="36" customFormat="false" ht="13.8" hidden="false" customHeight="false" outlineLevel="0" collapsed="false">
      <c r="A36" s="31" t="n">
        <v>45778</v>
      </c>
      <c r="B36" s="32" t="s">
        <v>50</v>
      </c>
      <c r="C36" s="32" t="n">
        <v>4.99</v>
      </c>
      <c r="D36" s="32" t="s">
        <v>51</v>
      </c>
      <c r="E36" s="32" t="s">
        <v>52</v>
      </c>
    </row>
    <row r="37" customFormat="false" ht="13.8" hidden="false" customHeight="false" outlineLevel="0" collapsed="false">
      <c r="A37" s="31" t="n">
        <v>45778</v>
      </c>
      <c r="B37" s="32" t="s">
        <v>54</v>
      </c>
      <c r="C37" s="32" t="n">
        <v>0.21</v>
      </c>
      <c r="D37" s="32" t="s">
        <v>51</v>
      </c>
      <c r="E37" s="32" t="s">
        <v>55</v>
      </c>
    </row>
    <row r="38" customFormat="false" ht="13.8" hidden="false" customHeight="false" outlineLevel="0" collapsed="false">
      <c r="A38" s="31" t="n">
        <v>45778</v>
      </c>
      <c r="B38" s="32" t="s">
        <v>56</v>
      </c>
      <c r="C38" s="32" t="n">
        <v>0.06</v>
      </c>
      <c r="D38" s="32" t="s">
        <v>51</v>
      </c>
      <c r="E38" s="32" t="s">
        <v>55</v>
      </c>
    </row>
    <row r="39" customFormat="false" ht="13.8" hidden="false" customHeight="false" outlineLevel="0" collapsed="false">
      <c r="A39" s="31" t="n">
        <v>45778</v>
      </c>
      <c r="B39" s="32" t="s">
        <v>53</v>
      </c>
      <c r="C39" s="32" t="n">
        <v>13.55</v>
      </c>
      <c r="D39" s="32" t="s">
        <v>51</v>
      </c>
      <c r="E39" s="32" t="s">
        <v>52</v>
      </c>
    </row>
    <row r="40" customFormat="false" ht="13.8" hidden="false" customHeight="false" outlineLevel="0" collapsed="false">
      <c r="A40" s="31" t="n">
        <v>45809</v>
      </c>
      <c r="B40" s="32" t="s">
        <v>41</v>
      </c>
      <c r="C40" s="32" t="n">
        <v>5786.5</v>
      </c>
      <c r="D40" s="32" t="s">
        <v>42</v>
      </c>
      <c r="E40" s="32" t="s">
        <v>43</v>
      </c>
    </row>
    <row r="41" customFormat="false" ht="13.8" hidden="false" customHeight="false" outlineLevel="0" collapsed="false">
      <c r="A41" s="31" t="n">
        <v>45809</v>
      </c>
      <c r="B41" s="32" t="s">
        <v>44</v>
      </c>
      <c r="C41" s="32" t="n">
        <v>286</v>
      </c>
      <c r="D41" s="32" t="s">
        <v>42</v>
      </c>
      <c r="E41" s="32" t="s">
        <v>45</v>
      </c>
    </row>
    <row r="42" customFormat="false" ht="13.8" hidden="false" customHeight="false" outlineLevel="0" collapsed="false">
      <c r="A42" s="31" t="n">
        <v>45809</v>
      </c>
      <c r="B42" s="32" t="s">
        <v>46</v>
      </c>
      <c r="C42" s="32" t="n">
        <v>1880.4</v>
      </c>
      <c r="D42" s="32" t="s">
        <v>42</v>
      </c>
      <c r="E42" s="32" t="s">
        <v>47</v>
      </c>
    </row>
    <row r="43" customFormat="false" ht="13.8" hidden="false" customHeight="false" outlineLevel="0" collapsed="false">
      <c r="A43" s="31" t="n">
        <v>45809</v>
      </c>
      <c r="B43" s="32" t="s">
        <v>48</v>
      </c>
      <c r="C43" s="32" t="n">
        <v>3880.9</v>
      </c>
      <c r="D43" s="32" t="s">
        <v>42</v>
      </c>
      <c r="E43" s="32" t="s">
        <v>49</v>
      </c>
    </row>
    <row r="44" customFormat="false" ht="13.8" hidden="false" customHeight="false" outlineLevel="0" collapsed="false">
      <c r="A44" s="31" t="n">
        <v>45809</v>
      </c>
      <c r="B44" s="32" t="s">
        <v>50</v>
      </c>
      <c r="C44" s="32" t="n">
        <v>4.94</v>
      </c>
      <c r="D44" s="32" t="s">
        <v>51</v>
      </c>
      <c r="E44" s="32" t="s">
        <v>52</v>
      </c>
    </row>
    <row r="45" customFormat="false" ht="13.8" hidden="false" customHeight="false" outlineLevel="0" collapsed="false">
      <c r="A45" s="31" t="n">
        <v>45809</v>
      </c>
      <c r="B45" s="32" t="s">
        <v>54</v>
      </c>
      <c r="C45" s="32" t="n">
        <v>0.92</v>
      </c>
      <c r="D45" s="32" t="s">
        <v>51</v>
      </c>
      <c r="E45" s="32" t="s">
        <v>55</v>
      </c>
    </row>
    <row r="46" customFormat="false" ht="13.8" hidden="false" customHeight="false" outlineLevel="0" collapsed="false">
      <c r="A46" s="31" t="n">
        <v>45809</v>
      </c>
      <c r="B46" s="32" t="s">
        <v>56</v>
      </c>
      <c r="C46" s="32" t="n">
        <v>0.28</v>
      </c>
      <c r="D46" s="32" t="s">
        <v>51</v>
      </c>
      <c r="E46" s="32" t="s">
        <v>55</v>
      </c>
    </row>
    <row r="47" customFormat="false" ht="13.8" hidden="false" customHeight="false" outlineLevel="0" collapsed="false">
      <c r="A47" s="31" t="n">
        <v>45809</v>
      </c>
      <c r="B47" s="32" t="s">
        <v>53</v>
      </c>
      <c r="C47" s="32" t="n">
        <v>13.2</v>
      </c>
      <c r="D47" s="32" t="s">
        <v>51</v>
      </c>
      <c r="E47" s="32" t="s">
        <v>52</v>
      </c>
    </row>
    <row r="48" customFormat="false" ht="13.8" hidden="false" customHeight="false" outlineLevel="0" collapsed="false">
      <c r="A48" s="31" t="n">
        <v>45839</v>
      </c>
      <c r="B48" s="32" t="s">
        <v>41</v>
      </c>
      <c r="C48" s="32" t="n">
        <v>5806.1</v>
      </c>
      <c r="D48" s="32" t="s">
        <v>42</v>
      </c>
      <c r="E48" s="32" t="s">
        <v>43</v>
      </c>
    </row>
    <row r="49" customFormat="false" ht="13.8" hidden="false" customHeight="false" outlineLevel="0" collapsed="false">
      <c r="A49" s="31" t="n">
        <v>45839</v>
      </c>
      <c r="B49" s="32" t="s">
        <v>44</v>
      </c>
      <c r="C49" s="32" t="n">
        <v>296.2</v>
      </c>
      <c r="D49" s="32" t="s">
        <v>42</v>
      </c>
      <c r="E49" s="32" t="s">
        <v>45</v>
      </c>
    </row>
    <row r="50" customFormat="false" ht="13.8" hidden="false" customHeight="false" outlineLevel="0" collapsed="false">
      <c r="A50" s="31" t="n">
        <v>45839</v>
      </c>
      <c r="B50" s="32" t="s">
        <v>46</v>
      </c>
      <c r="C50" s="32" t="n">
        <v>1909.2</v>
      </c>
      <c r="D50" s="32" t="s">
        <v>42</v>
      </c>
      <c r="E50" s="32" t="s">
        <v>47</v>
      </c>
    </row>
    <row r="51" customFormat="false" ht="13.8" hidden="false" customHeight="false" outlineLevel="0" collapsed="false">
      <c r="A51" s="31" t="n">
        <v>45839</v>
      </c>
      <c r="B51" s="32" t="s">
        <v>48</v>
      </c>
      <c r="C51" s="32" t="n">
        <v>3903.1</v>
      </c>
      <c r="D51" s="32" t="s">
        <v>42</v>
      </c>
      <c r="E51" s="32" t="s">
        <v>49</v>
      </c>
    </row>
    <row r="52" customFormat="false" ht="13.8" hidden="false" customHeight="false" outlineLevel="0" collapsed="false">
      <c r="A52" s="31" t="n">
        <v>45839</v>
      </c>
      <c r="B52" s="32" t="s">
        <v>50</v>
      </c>
      <c r="C52" s="32" t="n">
        <v>5.1</v>
      </c>
      <c r="D52" s="32" t="s">
        <v>51</v>
      </c>
      <c r="E52" s="32" t="s">
        <v>52</v>
      </c>
    </row>
    <row r="53" customFormat="false" ht="13.8" hidden="false" customHeight="false" outlineLevel="0" collapsed="false">
      <c r="A53" s="31" t="n">
        <v>45839</v>
      </c>
      <c r="B53" s="32" t="s">
        <v>54</v>
      </c>
      <c r="C53" s="32" t="n">
        <v>3.57</v>
      </c>
      <c r="D53" s="32" t="s">
        <v>51</v>
      </c>
      <c r="E53" s="32" t="s">
        <v>55</v>
      </c>
    </row>
    <row r="54" customFormat="false" ht="13.8" hidden="false" customHeight="false" outlineLevel="0" collapsed="false">
      <c r="A54" s="31" t="n">
        <v>45839</v>
      </c>
      <c r="B54" s="32" t="s">
        <v>56</v>
      </c>
      <c r="C54" s="32" t="n">
        <v>0.57</v>
      </c>
      <c r="D54" s="32" t="s">
        <v>51</v>
      </c>
      <c r="E54" s="32" t="s">
        <v>55</v>
      </c>
    </row>
    <row r="55" customFormat="false" ht="13.8" hidden="false" customHeight="false" outlineLevel="0" collapsed="false">
      <c r="A55" s="31" t="n">
        <v>45839</v>
      </c>
      <c r="B55" s="32" t="s">
        <v>53</v>
      </c>
      <c r="C55" s="32" t="n">
        <v>13.43</v>
      </c>
      <c r="D55" s="32" t="s">
        <v>51</v>
      </c>
      <c r="E55" s="32" t="s">
        <v>52</v>
      </c>
    </row>
    <row r="56" customFormat="false" ht="13.8" hidden="false" customHeight="false" outlineLevel="0" collapsed="false">
      <c r="A56" s="31" t="n">
        <v>45870</v>
      </c>
      <c r="B56" s="32" t="s">
        <v>41</v>
      </c>
      <c r="C56" s="32" t="n">
        <v>5759.6</v>
      </c>
      <c r="D56" s="32" t="s">
        <v>42</v>
      </c>
      <c r="E56" s="32" t="s">
        <v>43</v>
      </c>
    </row>
    <row r="57" customFormat="false" ht="13.8" hidden="false" customHeight="false" outlineLevel="0" collapsed="false">
      <c r="A57" s="31" t="n">
        <v>45870</v>
      </c>
      <c r="B57" s="32" t="s">
        <v>44</v>
      </c>
      <c r="C57" s="32" t="n">
        <v>291.5</v>
      </c>
      <c r="D57" s="32" t="s">
        <v>42</v>
      </c>
      <c r="E57" s="32" t="s">
        <v>45</v>
      </c>
    </row>
    <row r="58" customFormat="false" ht="13.8" hidden="false" customHeight="false" outlineLevel="0" collapsed="false">
      <c r="A58" s="31" t="n">
        <v>45870</v>
      </c>
      <c r="B58" s="32" t="s">
        <v>46</v>
      </c>
      <c r="C58" s="32" t="n">
        <v>1910.1</v>
      </c>
      <c r="D58" s="32" t="s">
        <v>42</v>
      </c>
      <c r="E58" s="32" t="s">
        <v>47</v>
      </c>
    </row>
    <row r="59" customFormat="false" ht="13.8" hidden="false" customHeight="false" outlineLevel="0" collapsed="false">
      <c r="A59" s="31" t="n">
        <v>45870</v>
      </c>
      <c r="B59" s="32" t="s">
        <v>48</v>
      </c>
      <c r="C59" s="32" t="n">
        <v>3900.5</v>
      </c>
      <c r="D59" s="32" t="s">
        <v>42</v>
      </c>
      <c r="E59" s="32" t="s">
        <v>49</v>
      </c>
    </row>
    <row r="60" customFormat="false" ht="13.8" hidden="false" customHeight="false" outlineLevel="0" collapsed="false">
      <c r="A60" s="31" t="n">
        <v>45870</v>
      </c>
      <c r="B60" s="32" t="s">
        <v>50</v>
      </c>
      <c r="C60" s="32" t="n">
        <v>5.06</v>
      </c>
      <c r="D60" s="32" t="s">
        <v>51</v>
      </c>
      <c r="E60" s="32" t="s">
        <v>52</v>
      </c>
    </row>
    <row r="61" customFormat="false" ht="13.8" hidden="false" customHeight="false" outlineLevel="0" collapsed="false">
      <c r="A61" s="31" t="n">
        <v>45870</v>
      </c>
      <c r="B61" s="32" t="s">
        <v>54</v>
      </c>
      <c r="C61" s="32" t="n">
        <v>-1.59</v>
      </c>
      <c r="D61" s="32" t="s">
        <v>51</v>
      </c>
      <c r="E61" s="32" t="s">
        <v>55</v>
      </c>
    </row>
    <row r="62" customFormat="false" ht="13.8" hidden="false" customHeight="false" outlineLevel="0" collapsed="false">
      <c r="A62" s="31" t="n">
        <v>45870</v>
      </c>
      <c r="B62" s="32" t="s">
        <v>56</v>
      </c>
      <c r="C62" s="32" t="n">
        <v>-0.07</v>
      </c>
      <c r="D62" s="32" t="s">
        <v>51</v>
      </c>
      <c r="E62" s="32" t="s">
        <v>55</v>
      </c>
    </row>
    <row r="63" customFormat="false" ht="13.8" hidden="false" customHeight="false" outlineLevel="0" collapsed="false">
      <c r="A63" s="31" t="n">
        <v>45870</v>
      </c>
      <c r="B63" s="32" t="s">
        <v>53</v>
      </c>
      <c r="C63" s="32" t="n">
        <v>13.24</v>
      </c>
      <c r="D63" s="32" t="s">
        <v>51</v>
      </c>
      <c r="E63" s="32" t="s">
        <v>52</v>
      </c>
    </row>
    <row r="64" customFormat="false" ht="13.8" hidden="false" customHeight="false" outlineLevel="0" collapsed="false">
      <c r="A64" s="31" t="n">
        <v>45901</v>
      </c>
      <c r="B64" s="32" t="s">
        <v>41</v>
      </c>
      <c r="C64" s="32" t="n">
        <v>5761.1</v>
      </c>
      <c r="D64" s="32" t="s">
        <v>42</v>
      </c>
      <c r="E64" s="32" t="s">
        <v>43</v>
      </c>
    </row>
    <row r="65" customFormat="false" ht="13.8" hidden="false" customHeight="false" outlineLevel="0" collapsed="false">
      <c r="A65" s="31" t="n">
        <v>45901</v>
      </c>
      <c r="B65" s="32" t="s">
        <v>44</v>
      </c>
      <c r="C65" s="32" t="n">
        <v>292.5</v>
      </c>
      <c r="D65" s="32" t="s">
        <v>42</v>
      </c>
      <c r="E65" s="32" t="s">
        <v>45</v>
      </c>
    </row>
    <row r="66" customFormat="false" ht="13.8" hidden="false" customHeight="false" outlineLevel="0" collapsed="false">
      <c r="A66" s="31" t="n">
        <v>45901</v>
      </c>
      <c r="B66" s="32" t="s">
        <v>46</v>
      </c>
      <c r="C66" s="32" t="n">
        <v>1930.4</v>
      </c>
      <c r="D66" s="32" t="s">
        <v>42</v>
      </c>
      <c r="E66" s="32" t="s">
        <v>47</v>
      </c>
    </row>
    <row r="67" customFormat="false" ht="13.8" hidden="false" customHeight="false" outlineLevel="0" collapsed="false">
      <c r="A67" s="31" t="n">
        <v>45901</v>
      </c>
      <c r="B67" s="32" t="s">
        <v>48</v>
      </c>
      <c r="C67" s="32" t="n">
        <v>3979.8</v>
      </c>
      <c r="D67" s="32" t="s">
        <v>42</v>
      </c>
      <c r="E67" s="32" t="s">
        <v>49</v>
      </c>
    </row>
    <row r="68" customFormat="false" ht="13.8" hidden="false" customHeight="false" outlineLevel="0" collapsed="false">
      <c r="A68" s="31" t="n">
        <v>45901</v>
      </c>
      <c r="B68" s="32" t="s">
        <v>50</v>
      </c>
      <c r="C68" s="32" t="n">
        <v>5.08</v>
      </c>
      <c r="D68" s="32" t="s">
        <v>51</v>
      </c>
      <c r="E68" s="32" t="s">
        <v>52</v>
      </c>
    </row>
    <row r="69" customFormat="false" ht="13.8" hidden="false" customHeight="false" outlineLevel="0" collapsed="false">
      <c r="A69" s="31" t="n">
        <v>45901</v>
      </c>
      <c r="B69" s="32" t="s">
        <v>54</v>
      </c>
      <c r="C69" s="32" t="n">
        <v>0.34</v>
      </c>
      <c r="D69" s="32" t="s">
        <v>51</v>
      </c>
      <c r="E69" s="32" t="s">
        <v>55</v>
      </c>
    </row>
    <row r="70" customFormat="false" ht="13.8" hidden="false" customHeight="false" outlineLevel="0" collapsed="false">
      <c r="A70" s="31" t="n">
        <v>45901</v>
      </c>
      <c r="B70" s="32" t="s">
        <v>56</v>
      </c>
      <c r="C70" s="32" t="n">
        <v>2.03</v>
      </c>
      <c r="D70" s="32" t="s">
        <v>51</v>
      </c>
      <c r="E70" s="32" t="s">
        <v>55</v>
      </c>
    </row>
    <row r="71" customFormat="false" ht="13.8" hidden="false" customHeight="false" outlineLevel="0" collapsed="false">
      <c r="A71" s="31" t="n">
        <v>45901</v>
      </c>
      <c r="B71" s="32" t="s">
        <v>53</v>
      </c>
      <c r="C71" s="32" t="n">
        <v>13.16</v>
      </c>
      <c r="D71" s="32" t="s">
        <v>51</v>
      </c>
      <c r="E71" s="32" t="s">
        <v>52</v>
      </c>
    </row>
    <row r="72" customFormat="false" ht="13.8" hidden="false" customHeight="false" outlineLevel="0" collapsed="false">
      <c r="A72" s="31" t="n">
        <v>45931</v>
      </c>
      <c r="B72" s="32" t="s">
        <v>41</v>
      </c>
      <c r="C72" s="32" t="n">
        <v>5796.4</v>
      </c>
      <c r="D72" s="32" t="s">
        <v>42</v>
      </c>
      <c r="E72" s="32" t="s">
        <v>43</v>
      </c>
    </row>
    <row r="73" customFormat="false" ht="13.8" hidden="false" customHeight="false" outlineLevel="0" collapsed="false">
      <c r="A73" s="31" t="n">
        <v>45931</v>
      </c>
      <c r="B73" s="32" t="s">
        <v>44</v>
      </c>
      <c r="C73" s="32" t="n">
        <v>306.7</v>
      </c>
      <c r="D73" s="32" t="s">
        <v>42</v>
      </c>
      <c r="E73" s="32" t="s">
        <v>45</v>
      </c>
    </row>
    <row r="74" customFormat="false" ht="13.8" hidden="false" customHeight="false" outlineLevel="0" collapsed="false">
      <c r="A74" s="31" t="n">
        <v>45931</v>
      </c>
      <c r="B74" s="32" t="s">
        <v>46</v>
      </c>
      <c r="C74" s="32" t="n">
        <v>1912.5</v>
      </c>
      <c r="D74" s="32" t="s">
        <v>42</v>
      </c>
      <c r="E74" s="32" t="s">
        <v>47</v>
      </c>
    </row>
    <row r="75" customFormat="false" ht="13.8" hidden="false" customHeight="false" outlineLevel="0" collapsed="false">
      <c r="A75" s="31" t="n">
        <v>45931</v>
      </c>
      <c r="B75" s="32" t="s">
        <v>48</v>
      </c>
      <c r="C75" s="32" t="n">
        <v>4039</v>
      </c>
      <c r="D75" s="32" t="s">
        <v>42</v>
      </c>
      <c r="E75" s="32" t="s">
        <v>49</v>
      </c>
    </row>
    <row r="76" customFormat="false" ht="13.8" hidden="false" customHeight="false" outlineLevel="0" collapsed="false">
      <c r="A76" s="31" t="n">
        <v>45931</v>
      </c>
      <c r="B76" s="32" t="s">
        <v>50</v>
      </c>
      <c r="C76" s="32" t="n">
        <v>5.29</v>
      </c>
      <c r="D76" s="32" t="s">
        <v>51</v>
      </c>
      <c r="E76" s="32" t="s">
        <v>52</v>
      </c>
    </row>
    <row r="77" customFormat="false" ht="13.8" hidden="false" customHeight="false" outlineLevel="0" collapsed="false">
      <c r="A77" s="31" t="n">
        <v>45931</v>
      </c>
      <c r="B77" s="32" t="s">
        <v>54</v>
      </c>
      <c r="C77" s="32" t="n">
        <v>4.85</v>
      </c>
      <c r="D77" s="32" t="s">
        <v>51</v>
      </c>
      <c r="E77" s="32" t="s">
        <v>55</v>
      </c>
    </row>
    <row r="78" customFormat="false" ht="13.8" hidden="false" customHeight="false" outlineLevel="0" collapsed="false">
      <c r="A78" s="31" t="n">
        <v>45931</v>
      </c>
      <c r="B78" s="32" t="s">
        <v>56</v>
      </c>
      <c r="C78" s="32" t="n">
        <v>1.49</v>
      </c>
      <c r="D78" s="32" t="s">
        <v>51</v>
      </c>
      <c r="E78" s="32" t="s">
        <v>55</v>
      </c>
    </row>
    <row r="79" customFormat="false" ht="13.8" hidden="false" customHeight="false" outlineLevel="0" collapsed="false">
      <c r="A79" s="31" t="n">
        <v>45931</v>
      </c>
      <c r="B79" s="32" t="s">
        <v>53</v>
      </c>
      <c r="C79" s="32" t="n">
        <v>13.82</v>
      </c>
      <c r="D79" s="32" t="s">
        <v>51</v>
      </c>
      <c r="E79" s="32" t="s">
        <v>52</v>
      </c>
    </row>
    <row r="80" customFormat="false" ht="13.8" hidden="false" customHeight="false" outlineLevel="0" collapsed="false">
      <c r="A80" s="31" t="n">
        <v>45962</v>
      </c>
      <c r="B80" s="32" t="s">
        <v>41</v>
      </c>
      <c r="C80" s="32" t="n">
        <v>5913.6</v>
      </c>
      <c r="D80" s="32" t="s">
        <v>42</v>
      </c>
      <c r="E80" s="32" t="s">
        <v>43</v>
      </c>
    </row>
    <row r="81" customFormat="false" ht="13.8" hidden="false" customHeight="false" outlineLevel="0" collapsed="false">
      <c r="A81" s="31" t="n">
        <v>45962</v>
      </c>
      <c r="B81" s="32" t="s">
        <v>44</v>
      </c>
      <c r="C81" s="32" t="n">
        <v>312.2</v>
      </c>
      <c r="D81" s="32" t="s">
        <v>42</v>
      </c>
      <c r="E81" s="32" t="s">
        <v>45</v>
      </c>
    </row>
    <row r="82" customFormat="false" ht="13.8" hidden="false" customHeight="false" outlineLevel="0" collapsed="false">
      <c r="A82" s="31" t="n">
        <v>45962</v>
      </c>
      <c r="B82" s="32" t="s">
        <v>46</v>
      </c>
      <c r="C82" s="32" t="n">
        <v>1952.2</v>
      </c>
      <c r="D82" s="32" t="s">
        <v>42</v>
      </c>
      <c r="E82" s="32" t="s">
        <v>47</v>
      </c>
    </row>
    <row r="83" customFormat="false" ht="13.8" hidden="false" customHeight="false" outlineLevel="0" collapsed="false">
      <c r="A83" s="31" t="n">
        <v>45962</v>
      </c>
      <c r="B83" s="32" t="s">
        <v>48</v>
      </c>
      <c r="C83" s="32" t="n">
        <v>4053.9</v>
      </c>
      <c r="D83" s="32" t="s">
        <v>42</v>
      </c>
      <c r="E83" s="32" t="s">
        <v>49</v>
      </c>
    </row>
    <row r="84" customFormat="false" ht="13.8" hidden="false" customHeight="false" outlineLevel="0" collapsed="false">
      <c r="A84" s="31" t="n">
        <v>45962</v>
      </c>
      <c r="B84" s="32" t="s">
        <v>50</v>
      </c>
      <c r="C84" s="32" t="n">
        <v>5.28</v>
      </c>
      <c r="D84" s="32" t="s">
        <v>51</v>
      </c>
      <c r="E84" s="32" t="s">
        <v>52</v>
      </c>
    </row>
    <row r="85" customFormat="false" ht="13.8" hidden="false" customHeight="false" outlineLevel="0" collapsed="false">
      <c r="A85" s="31" t="n">
        <v>45962</v>
      </c>
      <c r="B85" s="32" t="s">
        <v>54</v>
      </c>
      <c r="C85" s="32" t="n">
        <v>1.79</v>
      </c>
      <c r="D85" s="32" t="s">
        <v>51</v>
      </c>
      <c r="E85" s="32" t="s">
        <v>55</v>
      </c>
    </row>
    <row r="86" customFormat="false" ht="13.8" hidden="false" customHeight="false" outlineLevel="0" collapsed="false">
      <c r="A86" s="31" t="n">
        <v>45962</v>
      </c>
      <c r="B86" s="32" t="s">
        <v>56</v>
      </c>
      <c r="C86" s="32" t="n">
        <v>0.37</v>
      </c>
      <c r="D86" s="32" t="s">
        <v>51</v>
      </c>
      <c r="E86" s="32" t="s">
        <v>55</v>
      </c>
    </row>
    <row r="87" customFormat="false" ht="13.8" hidden="false" customHeight="false" outlineLevel="0" collapsed="false">
      <c r="A87" s="31" t="n">
        <v>45962</v>
      </c>
      <c r="B87" s="32" t="s">
        <v>53</v>
      </c>
      <c r="C87" s="32" t="n">
        <v>13.79</v>
      </c>
      <c r="D87" s="32" t="s">
        <v>51</v>
      </c>
      <c r="E87" s="32" t="s">
        <v>52</v>
      </c>
    </row>
    <row r="88" customFormat="false" ht="13.8" hidden="false" customHeight="false" outlineLevel="0" collapsed="false">
      <c r="A88" s="31" t="n">
        <v>45992</v>
      </c>
      <c r="B88" s="32" t="s">
        <v>41</v>
      </c>
      <c r="C88" s="32" t="n">
        <v>6029.3</v>
      </c>
      <c r="D88" s="32" t="s">
        <v>42</v>
      </c>
      <c r="E88" s="32" t="s">
        <v>43</v>
      </c>
    </row>
    <row r="89" customFormat="false" ht="13.8" hidden="false" customHeight="false" outlineLevel="0" collapsed="false">
      <c r="A89" s="31" t="n">
        <v>45992</v>
      </c>
      <c r="B89" s="32" t="s">
        <v>44</v>
      </c>
      <c r="C89" s="32" t="n">
        <v>323.2</v>
      </c>
      <c r="D89" s="32" t="s">
        <v>42</v>
      </c>
      <c r="E89" s="32" t="s">
        <v>45</v>
      </c>
    </row>
    <row r="90" customFormat="false" ht="13.8" hidden="false" customHeight="false" outlineLevel="0" collapsed="false">
      <c r="A90" s="31" t="n">
        <v>45992</v>
      </c>
      <c r="B90" s="32" t="s">
        <v>46</v>
      </c>
      <c r="C90" s="32" t="n">
        <v>1970</v>
      </c>
      <c r="D90" s="32" t="s">
        <v>42</v>
      </c>
      <c r="E90" s="32" t="s">
        <v>47</v>
      </c>
    </row>
    <row r="91" customFormat="false" ht="13.8" hidden="false" customHeight="false" outlineLevel="0" collapsed="false">
      <c r="A91" s="31" t="n">
        <v>45992</v>
      </c>
      <c r="B91" s="32" t="s">
        <v>48</v>
      </c>
      <c r="C91" s="32" t="n">
        <v>4085.8</v>
      </c>
      <c r="D91" s="32" t="s">
        <v>42</v>
      </c>
      <c r="E91" s="32" t="s">
        <v>49</v>
      </c>
    </row>
    <row r="92" customFormat="false" ht="13.8" hidden="false" customHeight="false" outlineLevel="0" collapsed="false">
      <c r="A92" s="31" t="n">
        <v>45992</v>
      </c>
      <c r="B92" s="32" t="s">
        <v>50</v>
      </c>
      <c r="C92" s="32" t="n">
        <v>5.36</v>
      </c>
      <c r="D92" s="32" t="s">
        <v>51</v>
      </c>
      <c r="E92" s="32" t="s">
        <v>52</v>
      </c>
    </row>
    <row r="93" customFormat="false" ht="13.8" hidden="false" customHeight="false" outlineLevel="0" collapsed="false">
      <c r="A93" s="31" t="n">
        <v>45992</v>
      </c>
      <c r="B93" s="32" t="s">
        <v>54</v>
      </c>
      <c r="C93" s="32" t="n">
        <v>3.52</v>
      </c>
      <c r="D93" s="32" t="s">
        <v>51</v>
      </c>
      <c r="E93" s="32" t="s">
        <v>55</v>
      </c>
    </row>
    <row r="94" customFormat="false" ht="13.8" hidden="false" customHeight="false" outlineLevel="0" collapsed="false">
      <c r="A94" s="31" t="n">
        <v>45992</v>
      </c>
      <c r="B94" s="32" t="s">
        <v>56</v>
      </c>
      <c r="C94" s="32" t="n">
        <v>0.79</v>
      </c>
      <c r="D94" s="32" t="s">
        <v>51</v>
      </c>
      <c r="E94" s="32" t="s">
        <v>55</v>
      </c>
    </row>
    <row r="95" customFormat="false" ht="13.8" hidden="false" customHeight="false" outlineLevel="0" collapsed="false">
      <c r="A95" s="31" t="n">
        <v>45992</v>
      </c>
      <c r="B95" s="32" t="s">
        <v>53</v>
      </c>
      <c r="C95" s="32" t="n">
        <v>14.09</v>
      </c>
      <c r="D95" s="32" t="s">
        <v>51</v>
      </c>
      <c r="E95" s="32" t="s">
        <v>52</v>
      </c>
    </row>
    <row r="96" customFormat="false" ht="13.8" hidden="false" customHeight="false" outlineLevel="0" collapsed="false">
      <c r="A96" s="31" t="n">
        <v>46023</v>
      </c>
      <c r="B96" s="32" t="s">
        <v>41</v>
      </c>
      <c r="C96" s="32" t="n">
        <v>6033.7</v>
      </c>
      <c r="D96" s="32" t="s">
        <v>42</v>
      </c>
      <c r="E96" s="32" t="s">
        <v>43</v>
      </c>
    </row>
    <row r="97" customFormat="false" ht="13.8" hidden="false" customHeight="false" outlineLevel="0" collapsed="false">
      <c r="A97" s="31" t="n">
        <v>46023</v>
      </c>
      <c r="B97" s="32" t="s">
        <v>44</v>
      </c>
      <c r="C97" s="32" t="n">
        <v>308.1</v>
      </c>
      <c r="D97" s="32" t="s">
        <v>42</v>
      </c>
      <c r="E97" s="32" t="s">
        <v>45</v>
      </c>
    </row>
    <row r="98" customFormat="false" ht="13.8" hidden="false" customHeight="false" outlineLevel="0" collapsed="false">
      <c r="A98" s="31" t="n">
        <v>46023</v>
      </c>
      <c r="B98" s="32" t="s">
        <v>46</v>
      </c>
      <c r="C98" s="32" t="n">
        <v>1965.9</v>
      </c>
      <c r="D98" s="32" t="s">
        <v>42</v>
      </c>
      <c r="E98" s="32" t="s">
        <v>47</v>
      </c>
    </row>
    <row r="99" customFormat="false" ht="13.8" hidden="false" customHeight="false" outlineLevel="0" collapsed="false">
      <c r="A99" s="31" t="n">
        <v>46023</v>
      </c>
      <c r="B99" s="32" t="s">
        <v>48</v>
      </c>
      <c r="C99" s="32" t="n">
        <v>4054</v>
      </c>
      <c r="D99" s="32" t="s">
        <v>42</v>
      </c>
      <c r="E99" s="32" t="s">
        <v>49</v>
      </c>
    </row>
    <row r="100" customFormat="false" ht="13.8" hidden="false" customHeight="false" outlineLevel="0" collapsed="false">
      <c r="A100" s="31" t="n">
        <v>46023</v>
      </c>
      <c r="B100" s="32" t="s">
        <v>50</v>
      </c>
      <c r="C100" s="32" t="n">
        <v>5.11</v>
      </c>
      <c r="D100" s="32" t="s">
        <v>51</v>
      </c>
      <c r="E100" s="32" t="s">
        <v>52</v>
      </c>
    </row>
    <row r="101" customFormat="false" ht="13.8" hidden="false" customHeight="false" outlineLevel="0" collapsed="false">
      <c r="A101" s="31" t="n">
        <v>46023</v>
      </c>
      <c r="B101" s="32" t="s">
        <v>54</v>
      </c>
      <c r="C101" s="32" t="n">
        <v>-4.67</v>
      </c>
      <c r="D101" s="32" t="s">
        <v>51</v>
      </c>
      <c r="E101" s="32" t="s">
        <v>55</v>
      </c>
    </row>
    <row r="102" customFormat="false" ht="13.8" hidden="false" customHeight="false" outlineLevel="0" collapsed="false">
      <c r="A102" s="31" t="n">
        <v>46023</v>
      </c>
      <c r="B102" s="32" t="s">
        <v>56</v>
      </c>
      <c r="C102" s="32" t="n">
        <v>-0.78</v>
      </c>
      <c r="D102" s="32" t="s">
        <v>51</v>
      </c>
      <c r="E102" s="32" t="s">
        <v>55</v>
      </c>
    </row>
    <row r="103" customFormat="false" ht="13.8" hidden="false" customHeight="false" outlineLevel="0" collapsed="false">
      <c r="A103" s="31" t="n">
        <v>46023</v>
      </c>
      <c r="B103" s="32" t="s">
        <v>53</v>
      </c>
      <c r="C103" s="32" t="n">
        <v>13.55</v>
      </c>
      <c r="D103" s="32" t="s">
        <v>51</v>
      </c>
      <c r="E103" s="32" t="s">
        <v>52</v>
      </c>
    </row>
    <row r="104" customFormat="false" ht="13.8" hidden="false" customHeight="false" outlineLevel="0" collapsed="false">
      <c r="A104" s="31" t="n">
        <v>46054</v>
      </c>
      <c r="B104" s="32" t="s">
        <v>41</v>
      </c>
      <c r="C104" s="32" t="n">
        <v>6133.9</v>
      </c>
      <c r="D104" s="32" t="s">
        <v>42</v>
      </c>
      <c r="E104" s="32" t="s">
        <v>43</v>
      </c>
    </row>
    <row r="105" customFormat="false" ht="13.8" hidden="false" customHeight="false" outlineLevel="0" collapsed="false">
      <c r="A105" s="31" t="n">
        <v>46054</v>
      </c>
      <c r="B105" s="32" t="s">
        <v>44</v>
      </c>
      <c r="C105" s="32" t="n">
        <v>314.5</v>
      </c>
      <c r="D105" s="32" t="s">
        <v>42</v>
      </c>
      <c r="E105" s="32" t="s">
        <v>45</v>
      </c>
    </row>
    <row r="106" customFormat="false" ht="13.8" hidden="false" customHeight="false" outlineLevel="0" collapsed="false">
      <c r="A106" s="31" t="n">
        <v>46054</v>
      </c>
      <c r="B106" s="32" t="s">
        <v>46</v>
      </c>
      <c r="C106" s="32" t="n">
        <v>2037</v>
      </c>
      <c r="D106" s="32" t="s">
        <v>42</v>
      </c>
      <c r="E106" s="32" t="s">
        <v>47</v>
      </c>
    </row>
    <row r="107" customFormat="false" ht="13.8" hidden="false" customHeight="false" outlineLevel="0" collapsed="false">
      <c r="A107" s="31" t="n">
        <v>46054</v>
      </c>
      <c r="B107" s="32" t="s">
        <v>48</v>
      </c>
      <c r="C107" s="32" t="n">
        <v>4081.7</v>
      </c>
      <c r="D107" s="32" t="s">
        <v>42</v>
      </c>
      <c r="E107" s="32" t="s">
        <v>49</v>
      </c>
    </row>
    <row r="108" customFormat="false" ht="13.8" hidden="false" customHeight="false" outlineLevel="0" collapsed="false">
      <c r="A108" s="31" t="n">
        <v>46054</v>
      </c>
      <c r="B108" s="32" t="s">
        <v>50</v>
      </c>
      <c r="C108" s="32" t="n">
        <v>5.13</v>
      </c>
      <c r="D108" s="32" t="s">
        <v>51</v>
      </c>
      <c r="E108" s="32" t="s">
        <v>52</v>
      </c>
    </row>
    <row r="109" customFormat="false" ht="13.8" hidden="false" customHeight="false" outlineLevel="0" collapsed="false">
      <c r="A109" s="31" t="n">
        <v>46054</v>
      </c>
      <c r="B109" s="32" t="s">
        <v>54</v>
      </c>
      <c r="C109" s="32" t="n">
        <v>2.08</v>
      </c>
      <c r="D109" s="32" t="s">
        <v>51</v>
      </c>
      <c r="E109" s="32" t="s">
        <v>55</v>
      </c>
    </row>
    <row r="110" customFormat="false" ht="13.8" hidden="false" customHeight="false" outlineLevel="0" collapsed="false">
      <c r="A110" s="31" t="n">
        <v>46054</v>
      </c>
      <c r="B110" s="32" t="s">
        <v>56</v>
      </c>
      <c r="C110" s="32" t="n">
        <v>0.68</v>
      </c>
      <c r="D110" s="32" t="s">
        <v>51</v>
      </c>
      <c r="E110" s="32" t="s">
        <v>55</v>
      </c>
    </row>
    <row r="111" customFormat="false" ht="13.8" hidden="false" customHeight="false" outlineLevel="0" collapsed="false">
      <c r="A111" s="31" t="n">
        <v>46054</v>
      </c>
      <c r="B111" s="32" t="s">
        <v>53</v>
      </c>
      <c r="C111" s="32" t="n">
        <v>13.37</v>
      </c>
      <c r="D111" s="32" t="s">
        <v>51</v>
      </c>
      <c r="E111" s="32" t="s">
        <v>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2" activeCellId="0" sqref="E172"/>
    </sheetView>
  </sheetViews>
  <sheetFormatPr defaultColWidth="14.7421875" defaultRowHeight="13.8" customHeight="true" zeroHeight="false" outlineLevelRow="0" outlineLevelCol="0"/>
  <cols>
    <col collapsed="false" customWidth="false" hidden="false" outlineLevel="0" max="1" min="1" style="26" width="14.74"/>
    <col collapsed="false" customWidth="true" hidden="false" outlineLevel="0" max="2" min="2" style="25" width="29.07"/>
    <col collapsed="false" customWidth="false" hidden="false" outlineLevel="0" max="4" min="3" style="26" width="14.74"/>
    <col collapsed="false" customWidth="true" hidden="false" outlineLevel="0" max="5" min="5" style="26" width="19.75"/>
    <col collapsed="false" customWidth="false" hidden="false" outlineLevel="0" max="16384" min="6" style="25" width="14.74"/>
  </cols>
  <sheetData>
    <row r="1" customFormat="false" ht="13.8" hidden="false" customHeight="false" outlineLevel="0" collapsed="false">
      <c r="A1" s="33" t="s">
        <v>36</v>
      </c>
      <c r="B1" s="34" t="s">
        <v>57</v>
      </c>
      <c r="C1" s="33" t="s">
        <v>58</v>
      </c>
      <c r="D1" s="33" t="s">
        <v>39</v>
      </c>
      <c r="E1" s="33" t="s">
        <v>40</v>
      </c>
    </row>
    <row r="2" customFormat="false" ht="13.8" hidden="false" customHeight="false" outlineLevel="0" collapsed="false">
      <c r="A2" s="35" t="n">
        <v>45658</v>
      </c>
      <c r="B2" s="36" t="s">
        <v>59</v>
      </c>
      <c r="C2" s="32" t="n">
        <v>149.3</v>
      </c>
      <c r="D2" s="32" t="s">
        <v>42</v>
      </c>
      <c r="E2" s="32" t="s">
        <v>48</v>
      </c>
    </row>
    <row r="3" customFormat="false" ht="13.8" hidden="false" customHeight="false" outlineLevel="0" collapsed="false">
      <c r="A3" s="35" t="n">
        <v>45658</v>
      </c>
      <c r="B3" s="36" t="s">
        <v>60</v>
      </c>
      <c r="C3" s="32" t="n">
        <v>575.1</v>
      </c>
      <c r="D3" s="32" t="s">
        <v>42</v>
      </c>
      <c r="E3" s="32" t="s">
        <v>48</v>
      </c>
    </row>
    <row r="4" customFormat="false" ht="13.8" hidden="false" customHeight="false" outlineLevel="0" collapsed="false">
      <c r="A4" s="35" t="n">
        <v>45658</v>
      </c>
      <c r="B4" s="36" t="s">
        <v>61</v>
      </c>
      <c r="C4" s="32" t="n">
        <v>674.3</v>
      </c>
      <c r="D4" s="32" t="s">
        <v>42</v>
      </c>
      <c r="E4" s="32" t="s">
        <v>48</v>
      </c>
    </row>
    <row r="5" customFormat="false" ht="13.8" hidden="false" customHeight="false" outlineLevel="0" collapsed="false">
      <c r="A5" s="35" t="n">
        <v>45658</v>
      </c>
      <c r="B5" s="36" t="s">
        <v>62</v>
      </c>
      <c r="C5" s="32" t="n">
        <v>136.2</v>
      </c>
      <c r="D5" s="32" t="s">
        <v>42</v>
      </c>
      <c r="E5" s="32" t="s">
        <v>48</v>
      </c>
    </row>
    <row r="6" customFormat="false" ht="13.8" hidden="false" customHeight="false" outlineLevel="0" collapsed="false">
      <c r="A6" s="35" t="n">
        <v>45658</v>
      </c>
      <c r="B6" s="36" t="s">
        <v>63</v>
      </c>
      <c r="C6" s="32" t="n">
        <v>363.3</v>
      </c>
      <c r="D6" s="32" t="s">
        <v>42</v>
      </c>
      <c r="E6" s="32" t="s">
        <v>48</v>
      </c>
    </row>
    <row r="7" customFormat="false" ht="13.8" hidden="false" customHeight="false" outlineLevel="0" collapsed="false">
      <c r="A7" s="35" t="n">
        <v>45658</v>
      </c>
      <c r="B7" s="36" t="s">
        <v>64</v>
      </c>
      <c r="C7" s="32" t="n">
        <v>144.1</v>
      </c>
      <c r="D7" s="32" t="s">
        <v>42</v>
      </c>
      <c r="E7" s="32" t="s">
        <v>48</v>
      </c>
    </row>
    <row r="8" customFormat="false" ht="13.8" hidden="false" customHeight="false" outlineLevel="0" collapsed="false">
      <c r="A8" s="35" t="n">
        <v>45658</v>
      </c>
      <c r="B8" s="36" t="s">
        <v>65</v>
      </c>
      <c r="C8" s="32" t="n">
        <v>457.2</v>
      </c>
      <c r="D8" s="32" t="s">
        <v>42</v>
      </c>
      <c r="E8" s="32" t="s">
        <v>48</v>
      </c>
    </row>
    <row r="9" customFormat="false" ht="13.8" hidden="false" customHeight="false" outlineLevel="0" collapsed="false">
      <c r="A9" s="35" t="n">
        <v>45658</v>
      </c>
      <c r="B9" s="36" t="s">
        <v>66</v>
      </c>
      <c r="C9" s="32" t="n">
        <v>18.3</v>
      </c>
      <c r="D9" s="32" t="s">
        <v>42</v>
      </c>
      <c r="E9" s="32" t="s">
        <v>48</v>
      </c>
    </row>
    <row r="10" customFormat="false" ht="13.8" hidden="false" customHeight="false" outlineLevel="0" collapsed="false">
      <c r="A10" s="35" t="n">
        <v>45658</v>
      </c>
      <c r="B10" s="36" t="s">
        <v>67</v>
      </c>
      <c r="C10" s="32" t="n">
        <v>554.1</v>
      </c>
      <c r="D10" s="32" t="s">
        <v>42</v>
      </c>
      <c r="E10" s="32" t="s">
        <v>48</v>
      </c>
    </row>
    <row r="11" customFormat="false" ht="13.8" hidden="false" customHeight="false" outlineLevel="0" collapsed="false">
      <c r="A11" s="35" t="n">
        <v>45658</v>
      </c>
      <c r="B11" s="36" t="s">
        <v>68</v>
      </c>
      <c r="C11" s="32" t="n">
        <v>433.1</v>
      </c>
      <c r="D11" s="32" t="s">
        <v>42</v>
      </c>
      <c r="E11" s="32" t="s">
        <v>48</v>
      </c>
    </row>
    <row r="12" customFormat="false" ht="13.8" hidden="false" customHeight="false" outlineLevel="0" collapsed="false">
      <c r="A12" s="35" t="n">
        <v>45658</v>
      </c>
      <c r="B12" s="36" t="s">
        <v>69</v>
      </c>
      <c r="C12" s="32" t="n">
        <v>204.8</v>
      </c>
      <c r="D12" s="32" t="s">
        <v>42</v>
      </c>
      <c r="E12" s="32" t="s">
        <v>48</v>
      </c>
    </row>
    <row r="13" customFormat="false" ht="13.8" hidden="false" customHeight="false" outlineLevel="0" collapsed="false">
      <c r="A13" s="35" t="n">
        <v>45658</v>
      </c>
      <c r="B13" s="36" t="s">
        <v>70</v>
      </c>
      <c r="C13" s="32" t="n">
        <v>98.8</v>
      </c>
      <c r="D13" s="32" t="s">
        <v>42</v>
      </c>
      <c r="E13" s="32" t="s">
        <v>48</v>
      </c>
    </row>
    <row r="14" customFormat="false" ht="13.8" hidden="false" customHeight="false" outlineLevel="0" collapsed="false">
      <c r="A14" s="35" t="n">
        <v>45689</v>
      </c>
      <c r="B14" s="36" t="s">
        <v>59</v>
      </c>
      <c r="C14" s="32" t="n">
        <v>149.3</v>
      </c>
      <c r="D14" s="32" t="s">
        <v>42</v>
      </c>
      <c r="E14" s="32" t="s">
        <v>48</v>
      </c>
    </row>
    <row r="15" customFormat="false" ht="13.8" hidden="false" customHeight="false" outlineLevel="0" collapsed="false">
      <c r="A15" s="35" t="n">
        <v>45689</v>
      </c>
      <c r="B15" s="36" t="s">
        <v>60</v>
      </c>
      <c r="C15" s="32" t="n">
        <v>573.1</v>
      </c>
      <c r="D15" s="32" t="s">
        <v>42</v>
      </c>
      <c r="E15" s="32" t="s">
        <v>48</v>
      </c>
    </row>
    <row r="16" customFormat="false" ht="13.8" hidden="false" customHeight="false" outlineLevel="0" collapsed="false">
      <c r="A16" s="35" t="n">
        <v>45689</v>
      </c>
      <c r="B16" s="36" t="s">
        <v>61</v>
      </c>
      <c r="C16" s="32" t="n">
        <v>675</v>
      </c>
      <c r="D16" s="32" t="s">
        <v>42</v>
      </c>
      <c r="E16" s="32" t="s">
        <v>48</v>
      </c>
    </row>
    <row r="17" customFormat="false" ht="13.8" hidden="false" customHeight="false" outlineLevel="0" collapsed="false">
      <c r="A17" s="35" t="n">
        <v>45689</v>
      </c>
      <c r="B17" s="36" t="s">
        <v>62</v>
      </c>
      <c r="C17" s="32" t="n">
        <v>136.1</v>
      </c>
      <c r="D17" s="32" t="s">
        <v>42</v>
      </c>
      <c r="E17" s="32" t="s">
        <v>48</v>
      </c>
    </row>
    <row r="18" customFormat="false" ht="13.8" hidden="false" customHeight="false" outlineLevel="0" collapsed="false">
      <c r="A18" s="35" t="n">
        <v>45689</v>
      </c>
      <c r="B18" s="36" t="s">
        <v>63</v>
      </c>
      <c r="C18" s="32" t="n">
        <v>359.9</v>
      </c>
      <c r="D18" s="32" t="s">
        <v>42</v>
      </c>
      <c r="E18" s="32" t="s">
        <v>48</v>
      </c>
    </row>
    <row r="19" customFormat="false" ht="13.8" hidden="false" customHeight="false" outlineLevel="0" collapsed="false">
      <c r="A19" s="35" t="n">
        <v>45689</v>
      </c>
      <c r="B19" s="36" t="s">
        <v>64</v>
      </c>
      <c r="C19" s="32" t="n">
        <v>135.7</v>
      </c>
      <c r="D19" s="32" t="s">
        <v>42</v>
      </c>
      <c r="E19" s="32" t="s">
        <v>48</v>
      </c>
    </row>
    <row r="20" customFormat="false" ht="13.8" hidden="false" customHeight="false" outlineLevel="0" collapsed="false">
      <c r="A20" s="35" t="n">
        <v>45689</v>
      </c>
      <c r="B20" s="36" t="s">
        <v>65</v>
      </c>
      <c r="C20" s="32" t="n">
        <v>454.1</v>
      </c>
      <c r="D20" s="32" t="s">
        <v>42</v>
      </c>
      <c r="E20" s="32" t="s">
        <v>48</v>
      </c>
    </row>
    <row r="21" customFormat="false" ht="13.8" hidden="false" customHeight="false" outlineLevel="0" collapsed="false">
      <c r="A21" s="35" t="n">
        <v>45689</v>
      </c>
      <c r="B21" s="36" t="s">
        <v>66</v>
      </c>
      <c r="C21" s="32" t="n">
        <v>18.6</v>
      </c>
      <c r="D21" s="32" t="s">
        <v>42</v>
      </c>
      <c r="E21" s="32" t="s">
        <v>48</v>
      </c>
    </row>
    <row r="22" customFormat="false" ht="13.8" hidden="false" customHeight="false" outlineLevel="0" collapsed="false">
      <c r="A22" s="35" t="n">
        <v>45689</v>
      </c>
      <c r="B22" s="36" t="s">
        <v>67</v>
      </c>
      <c r="C22" s="32" t="n">
        <v>554.6</v>
      </c>
      <c r="D22" s="32" t="s">
        <v>42</v>
      </c>
      <c r="E22" s="32" t="s">
        <v>48</v>
      </c>
    </row>
    <row r="23" customFormat="false" ht="13.8" hidden="false" customHeight="false" outlineLevel="0" collapsed="false">
      <c r="A23" s="35" t="n">
        <v>45689</v>
      </c>
      <c r="B23" s="36" t="s">
        <v>68</v>
      </c>
      <c r="C23" s="32" t="n">
        <v>435.6</v>
      </c>
      <c r="D23" s="32" t="s">
        <v>42</v>
      </c>
      <c r="E23" s="32" t="s">
        <v>48</v>
      </c>
    </row>
    <row r="24" customFormat="false" ht="13.8" hidden="false" customHeight="false" outlineLevel="0" collapsed="false">
      <c r="A24" s="35" t="n">
        <v>45689</v>
      </c>
      <c r="B24" s="36" t="s">
        <v>69</v>
      </c>
      <c r="C24" s="32" t="n">
        <v>206.3</v>
      </c>
      <c r="D24" s="32" t="s">
        <v>42</v>
      </c>
      <c r="E24" s="32" t="s">
        <v>48</v>
      </c>
    </row>
    <row r="25" customFormat="false" ht="13.8" hidden="false" customHeight="false" outlineLevel="0" collapsed="false">
      <c r="A25" s="35" t="n">
        <v>45689</v>
      </c>
      <c r="B25" s="36" t="s">
        <v>70</v>
      </c>
      <c r="C25" s="32" t="n">
        <v>103.7</v>
      </c>
      <c r="D25" s="32" t="s">
        <v>42</v>
      </c>
      <c r="E25" s="32" t="s">
        <v>48</v>
      </c>
    </row>
    <row r="26" customFormat="false" ht="13.8" hidden="false" customHeight="false" outlineLevel="0" collapsed="false">
      <c r="A26" s="35" t="n">
        <v>45717</v>
      </c>
      <c r="B26" s="36" t="s">
        <v>59</v>
      </c>
      <c r="C26" s="32" t="n">
        <v>149</v>
      </c>
      <c r="D26" s="32" t="s">
        <v>42</v>
      </c>
      <c r="E26" s="32" t="s">
        <v>48</v>
      </c>
    </row>
    <row r="27" customFormat="false" ht="13.8" hidden="false" customHeight="false" outlineLevel="0" collapsed="false">
      <c r="A27" s="35" t="n">
        <v>45717</v>
      </c>
      <c r="B27" s="36" t="s">
        <v>60</v>
      </c>
      <c r="C27" s="32" t="n">
        <v>560.4</v>
      </c>
      <c r="D27" s="32" t="s">
        <v>42</v>
      </c>
      <c r="E27" s="32" t="s">
        <v>48</v>
      </c>
    </row>
    <row r="28" customFormat="false" ht="13.8" hidden="false" customHeight="false" outlineLevel="0" collapsed="false">
      <c r="A28" s="35" t="n">
        <v>45717</v>
      </c>
      <c r="B28" s="36" t="s">
        <v>61</v>
      </c>
      <c r="C28" s="32" t="n">
        <v>682.9</v>
      </c>
      <c r="D28" s="32" t="s">
        <v>42</v>
      </c>
      <c r="E28" s="32" t="s">
        <v>48</v>
      </c>
    </row>
    <row r="29" customFormat="false" ht="13.8" hidden="false" customHeight="false" outlineLevel="0" collapsed="false">
      <c r="A29" s="35" t="n">
        <v>45717</v>
      </c>
      <c r="B29" s="36" t="s">
        <v>62</v>
      </c>
      <c r="C29" s="32" t="n">
        <v>153.8</v>
      </c>
      <c r="D29" s="32" t="s">
        <v>42</v>
      </c>
      <c r="E29" s="32" t="s">
        <v>48</v>
      </c>
    </row>
    <row r="30" customFormat="false" ht="13.8" hidden="false" customHeight="false" outlineLevel="0" collapsed="false">
      <c r="A30" s="35" t="n">
        <v>45717</v>
      </c>
      <c r="B30" s="36" t="s">
        <v>63</v>
      </c>
      <c r="C30" s="32" t="n">
        <v>357</v>
      </c>
      <c r="D30" s="32" t="s">
        <v>42</v>
      </c>
      <c r="E30" s="32" t="s">
        <v>48</v>
      </c>
    </row>
    <row r="31" customFormat="false" ht="13.8" hidden="false" customHeight="false" outlineLevel="0" collapsed="false">
      <c r="A31" s="35" t="n">
        <v>45717</v>
      </c>
      <c r="B31" s="36" t="s">
        <v>64</v>
      </c>
      <c r="C31" s="32" t="n">
        <v>133.6</v>
      </c>
      <c r="D31" s="32" t="s">
        <v>42</v>
      </c>
      <c r="E31" s="32" t="s">
        <v>48</v>
      </c>
    </row>
    <row r="32" customFormat="false" ht="13.8" hidden="false" customHeight="false" outlineLevel="0" collapsed="false">
      <c r="A32" s="35" t="n">
        <v>45717</v>
      </c>
      <c r="B32" s="36" t="s">
        <v>65</v>
      </c>
      <c r="C32" s="32" t="n">
        <v>451.3</v>
      </c>
      <c r="D32" s="32" t="s">
        <v>42</v>
      </c>
      <c r="E32" s="32" t="s">
        <v>48</v>
      </c>
    </row>
    <row r="33" customFormat="false" ht="13.8" hidden="false" customHeight="false" outlineLevel="0" collapsed="false">
      <c r="A33" s="35" t="n">
        <v>45717</v>
      </c>
      <c r="B33" s="36" t="s">
        <v>66</v>
      </c>
      <c r="C33" s="32" t="n">
        <v>17.4</v>
      </c>
      <c r="D33" s="32" t="s">
        <v>42</v>
      </c>
      <c r="E33" s="32" t="s">
        <v>48</v>
      </c>
    </row>
    <row r="34" customFormat="false" ht="13.8" hidden="false" customHeight="false" outlineLevel="0" collapsed="false">
      <c r="A34" s="35" t="n">
        <v>45717</v>
      </c>
      <c r="B34" s="36" t="s">
        <v>67</v>
      </c>
      <c r="C34" s="32" t="n">
        <v>560.9</v>
      </c>
      <c r="D34" s="32" t="s">
        <v>42</v>
      </c>
      <c r="E34" s="32" t="s">
        <v>48</v>
      </c>
    </row>
    <row r="35" customFormat="false" ht="13.8" hidden="false" customHeight="false" outlineLevel="0" collapsed="false">
      <c r="A35" s="35" t="n">
        <v>45717</v>
      </c>
      <c r="B35" s="36" t="s">
        <v>68</v>
      </c>
      <c r="C35" s="32" t="n">
        <v>449.9</v>
      </c>
      <c r="D35" s="32" t="s">
        <v>42</v>
      </c>
      <c r="E35" s="32" t="s">
        <v>48</v>
      </c>
    </row>
    <row r="36" customFormat="false" ht="13.8" hidden="false" customHeight="false" outlineLevel="0" collapsed="false">
      <c r="A36" s="35" t="n">
        <v>45717</v>
      </c>
      <c r="B36" s="36" t="s">
        <v>69</v>
      </c>
      <c r="C36" s="32" t="n">
        <v>189.9</v>
      </c>
      <c r="D36" s="32" t="s">
        <v>42</v>
      </c>
      <c r="E36" s="32" t="s">
        <v>48</v>
      </c>
    </row>
    <row r="37" customFormat="false" ht="13.8" hidden="false" customHeight="false" outlineLevel="0" collapsed="false">
      <c r="A37" s="35" t="n">
        <v>45717</v>
      </c>
      <c r="B37" s="36" t="s">
        <v>70</v>
      </c>
      <c r="C37" s="32" t="n">
        <v>131.5</v>
      </c>
      <c r="D37" s="32" t="s">
        <v>42</v>
      </c>
      <c r="E37" s="32" t="s">
        <v>48</v>
      </c>
    </row>
    <row r="38" customFormat="false" ht="13.8" hidden="false" customHeight="false" outlineLevel="0" collapsed="false">
      <c r="A38" s="35" t="n">
        <v>45748</v>
      </c>
      <c r="B38" s="36" t="s">
        <v>59</v>
      </c>
      <c r="C38" s="32" t="n">
        <v>154</v>
      </c>
      <c r="D38" s="32" t="s">
        <v>42</v>
      </c>
      <c r="E38" s="32" t="s">
        <v>48</v>
      </c>
    </row>
    <row r="39" customFormat="false" ht="13.8" hidden="false" customHeight="false" outlineLevel="0" collapsed="false">
      <c r="A39" s="35" t="n">
        <v>45748</v>
      </c>
      <c r="B39" s="36" t="s">
        <v>60</v>
      </c>
      <c r="C39" s="32" t="n">
        <v>593.8</v>
      </c>
      <c r="D39" s="32" t="s">
        <v>42</v>
      </c>
      <c r="E39" s="32" t="s">
        <v>48</v>
      </c>
    </row>
    <row r="40" customFormat="false" ht="13.8" hidden="false" customHeight="false" outlineLevel="0" collapsed="false">
      <c r="A40" s="35" t="n">
        <v>45748</v>
      </c>
      <c r="B40" s="36" t="s">
        <v>61</v>
      </c>
      <c r="C40" s="32" t="n">
        <v>685.7</v>
      </c>
      <c r="D40" s="32" t="s">
        <v>42</v>
      </c>
      <c r="E40" s="32" t="s">
        <v>48</v>
      </c>
    </row>
    <row r="41" customFormat="false" ht="13.8" hidden="false" customHeight="false" outlineLevel="0" collapsed="false">
      <c r="A41" s="35" t="n">
        <v>45748</v>
      </c>
      <c r="B41" s="36" t="s">
        <v>62</v>
      </c>
      <c r="C41" s="32" t="n">
        <v>151.9</v>
      </c>
      <c r="D41" s="32" t="s">
        <v>42</v>
      </c>
      <c r="E41" s="32" t="s">
        <v>48</v>
      </c>
    </row>
    <row r="42" customFormat="false" ht="13.8" hidden="false" customHeight="false" outlineLevel="0" collapsed="false">
      <c r="A42" s="35" t="n">
        <v>45748</v>
      </c>
      <c r="B42" s="36" t="s">
        <v>63</v>
      </c>
      <c r="C42" s="32" t="n">
        <v>354.4</v>
      </c>
      <c r="D42" s="32" t="s">
        <v>42</v>
      </c>
      <c r="E42" s="32" t="s">
        <v>48</v>
      </c>
    </row>
    <row r="43" customFormat="false" ht="13.8" hidden="false" customHeight="false" outlineLevel="0" collapsed="false">
      <c r="A43" s="35" t="n">
        <v>45748</v>
      </c>
      <c r="B43" s="36" t="s">
        <v>64</v>
      </c>
      <c r="C43" s="32" t="n">
        <v>148</v>
      </c>
      <c r="D43" s="32" t="s">
        <v>42</v>
      </c>
      <c r="E43" s="32" t="s">
        <v>48</v>
      </c>
    </row>
    <row r="44" customFormat="false" ht="13.8" hidden="false" customHeight="false" outlineLevel="0" collapsed="false">
      <c r="A44" s="35" t="n">
        <v>45748</v>
      </c>
      <c r="B44" s="36" t="s">
        <v>65</v>
      </c>
      <c r="C44" s="32" t="n">
        <v>452.8</v>
      </c>
      <c r="D44" s="32" t="s">
        <v>42</v>
      </c>
      <c r="E44" s="32" t="s">
        <v>48</v>
      </c>
    </row>
    <row r="45" customFormat="false" ht="13.8" hidden="false" customHeight="false" outlineLevel="0" collapsed="false">
      <c r="A45" s="35" t="n">
        <v>45748</v>
      </c>
      <c r="B45" s="36" t="s">
        <v>66</v>
      </c>
      <c r="C45" s="32" t="n">
        <v>20</v>
      </c>
      <c r="D45" s="32" t="s">
        <v>42</v>
      </c>
      <c r="E45" s="32" t="s">
        <v>48</v>
      </c>
    </row>
    <row r="46" customFormat="false" ht="13.8" hidden="false" customHeight="false" outlineLevel="0" collapsed="false">
      <c r="A46" s="35" t="n">
        <v>45748</v>
      </c>
      <c r="B46" s="36" t="s">
        <v>67</v>
      </c>
      <c r="C46" s="32" t="n">
        <v>558.3</v>
      </c>
      <c r="D46" s="32" t="s">
        <v>42</v>
      </c>
      <c r="E46" s="32" t="s">
        <v>48</v>
      </c>
    </row>
    <row r="47" customFormat="false" ht="13.8" hidden="false" customHeight="false" outlineLevel="0" collapsed="false">
      <c r="A47" s="35" t="n">
        <v>45748</v>
      </c>
      <c r="B47" s="36" t="s">
        <v>68</v>
      </c>
      <c r="C47" s="32" t="n">
        <v>449.3</v>
      </c>
      <c r="D47" s="32" t="s">
        <v>42</v>
      </c>
      <c r="E47" s="32" t="s">
        <v>48</v>
      </c>
    </row>
    <row r="48" customFormat="false" ht="13.8" hidden="false" customHeight="false" outlineLevel="0" collapsed="false">
      <c r="A48" s="35" t="n">
        <v>45748</v>
      </c>
      <c r="B48" s="36" t="s">
        <v>69</v>
      </c>
      <c r="C48" s="32" t="n">
        <v>192.6</v>
      </c>
      <c r="D48" s="32" t="s">
        <v>42</v>
      </c>
      <c r="E48" s="32" t="s">
        <v>48</v>
      </c>
    </row>
    <row r="49" customFormat="false" ht="13.8" hidden="false" customHeight="false" outlineLevel="0" collapsed="false">
      <c r="A49" s="35" t="n">
        <v>45748</v>
      </c>
      <c r="B49" s="36" t="s">
        <v>70</v>
      </c>
      <c r="C49" s="32" t="n">
        <v>107.2</v>
      </c>
      <c r="D49" s="32" t="s">
        <v>42</v>
      </c>
      <c r="E49" s="32" t="s">
        <v>48</v>
      </c>
    </row>
    <row r="50" customFormat="false" ht="13.8" hidden="false" customHeight="false" outlineLevel="0" collapsed="false">
      <c r="A50" s="35" t="n">
        <v>45778</v>
      </c>
      <c r="B50" s="36" t="s">
        <v>59</v>
      </c>
      <c r="C50" s="32" t="n">
        <v>145.4</v>
      </c>
      <c r="D50" s="32" t="s">
        <v>42</v>
      </c>
      <c r="E50" s="32" t="s">
        <v>48</v>
      </c>
    </row>
    <row r="51" customFormat="false" ht="13.8" hidden="false" customHeight="false" outlineLevel="0" collapsed="false">
      <c r="A51" s="35" t="n">
        <v>45778</v>
      </c>
      <c r="B51" s="36" t="s">
        <v>60</v>
      </c>
      <c r="C51" s="32" t="n">
        <v>586.2</v>
      </c>
      <c r="D51" s="32" t="s">
        <v>42</v>
      </c>
      <c r="E51" s="32" t="s">
        <v>48</v>
      </c>
    </row>
    <row r="52" customFormat="false" ht="13.8" hidden="false" customHeight="false" outlineLevel="0" collapsed="false">
      <c r="A52" s="35" t="n">
        <v>45778</v>
      </c>
      <c r="B52" s="36" t="s">
        <v>61</v>
      </c>
      <c r="C52" s="32" t="n">
        <v>692.1</v>
      </c>
      <c r="D52" s="32" t="s">
        <v>42</v>
      </c>
      <c r="E52" s="32" t="s">
        <v>48</v>
      </c>
    </row>
    <row r="53" customFormat="false" ht="13.8" hidden="false" customHeight="false" outlineLevel="0" collapsed="false">
      <c r="A53" s="35" t="n">
        <v>45778</v>
      </c>
      <c r="B53" s="36" t="s">
        <v>62</v>
      </c>
      <c r="C53" s="32" t="n">
        <v>160.3</v>
      </c>
      <c r="D53" s="32" t="s">
        <v>42</v>
      </c>
      <c r="E53" s="32" t="s">
        <v>48</v>
      </c>
    </row>
    <row r="54" customFormat="false" ht="13.8" hidden="false" customHeight="false" outlineLevel="0" collapsed="false">
      <c r="A54" s="35" t="n">
        <v>45778</v>
      </c>
      <c r="B54" s="36" t="s">
        <v>63</v>
      </c>
      <c r="C54" s="32" t="n">
        <v>349.9</v>
      </c>
      <c r="D54" s="32" t="s">
        <v>42</v>
      </c>
      <c r="E54" s="32" t="s">
        <v>48</v>
      </c>
    </row>
    <row r="55" customFormat="false" ht="13.8" hidden="false" customHeight="false" outlineLevel="0" collapsed="false">
      <c r="A55" s="35" t="n">
        <v>45778</v>
      </c>
      <c r="B55" s="36" t="s">
        <v>64</v>
      </c>
      <c r="C55" s="32" t="n">
        <v>141.5</v>
      </c>
      <c r="D55" s="32" t="s">
        <v>42</v>
      </c>
      <c r="E55" s="32" t="s">
        <v>48</v>
      </c>
    </row>
    <row r="56" customFormat="false" ht="13.8" hidden="false" customHeight="false" outlineLevel="0" collapsed="false">
      <c r="A56" s="35" t="n">
        <v>45778</v>
      </c>
      <c r="B56" s="36" t="s">
        <v>65</v>
      </c>
      <c r="C56" s="32" t="n">
        <v>452.4</v>
      </c>
      <c r="D56" s="32" t="s">
        <v>42</v>
      </c>
      <c r="E56" s="32" t="s">
        <v>48</v>
      </c>
    </row>
    <row r="57" customFormat="false" ht="13.8" hidden="false" customHeight="false" outlineLevel="0" collapsed="false">
      <c r="A57" s="35" t="n">
        <v>45778</v>
      </c>
      <c r="B57" s="36" t="s">
        <v>66</v>
      </c>
      <c r="C57" s="32" t="n">
        <v>22</v>
      </c>
      <c r="D57" s="32" t="s">
        <v>42</v>
      </c>
      <c r="E57" s="32" t="s">
        <v>48</v>
      </c>
    </row>
    <row r="58" customFormat="false" ht="13.8" hidden="false" customHeight="false" outlineLevel="0" collapsed="false">
      <c r="A58" s="35" t="n">
        <v>45778</v>
      </c>
      <c r="B58" s="36" t="s">
        <v>67</v>
      </c>
      <c r="C58" s="32" t="n">
        <v>563.8</v>
      </c>
      <c r="D58" s="32" t="s">
        <v>42</v>
      </c>
      <c r="E58" s="32" t="s">
        <v>48</v>
      </c>
    </row>
    <row r="59" customFormat="false" ht="13.8" hidden="false" customHeight="false" outlineLevel="0" collapsed="false">
      <c r="A59" s="35" t="n">
        <v>45778</v>
      </c>
      <c r="B59" s="36" t="s">
        <v>68</v>
      </c>
      <c r="C59" s="32" t="n">
        <v>453.6</v>
      </c>
      <c r="D59" s="32" t="s">
        <v>42</v>
      </c>
      <c r="E59" s="32" t="s">
        <v>48</v>
      </c>
    </row>
    <row r="60" customFormat="false" ht="13.8" hidden="false" customHeight="false" outlineLevel="0" collapsed="false">
      <c r="A60" s="35" t="n">
        <v>45778</v>
      </c>
      <c r="B60" s="36" t="s">
        <v>69</v>
      </c>
      <c r="C60" s="32" t="n">
        <v>192</v>
      </c>
      <c r="D60" s="32" t="s">
        <v>42</v>
      </c>
      <c r="E60" s="32" t="s">
        <v>48</v>
      </c>
    </row>
    <row r="61" customFormat="false" ht="13.8" hidden="false" customHeight="false" outlineLevel="0" collapsed="false">
      <c r="A61" s="35" t="n">
        <v>45778</v>
      </c>
      <c r="B61" s="36" t="s">
        <v>70</v>
      </c>
      <c r="C61" s="32" t="n">
        <v>111</v>
      </c>
      <c r="D61" s="32" t="s">
        <v>42</v>
      </c>
      <c r="E61" s="32" t="s">
        <v>48</v>
      </c>
    </row>
    <row r="62" customFormat="false" ht="13.8" hidden="false" customHeight="false" outlineLevel="0" collapsed="false">
      <c r="A62" s="35" t="n">
        <v>45809</v>
      </c>
      <c r="B62" s="36" t="s">
        <v>59</v>
      </c>
      <c r="C62" s="32" t="n">
        <v>151.1</v>
      </c>
      <c r="D62" s="32" t="s">
        <v>42</v>
      </c>
      <c r="E62" s="32" t="s">
        <v>48</v>
      </c>
    </row>
    <row r="63" customFormat="false" ht="13.8" hidden="false" customHeight="false" outlineLevel="0" collapsed="false">
      <c r="A63" s="35" t="n">
        <v>45809</v>
      </c>
      <c r="B63" s="36" t="s">
        <v>60</v>
      </c>
      <c r="C63" s="32" t="n">
        <v>598.3</v>
      </c>
      <c r="D63" s="32" t="s">
        <v>42</v>
      </c>
      <c r="E63" s="32" t="s">
        <v>48</v>
      </c>
    </row>
    <row r="64" customFormat="false" ht="13.8" hidden="false" customHeight="false" outlineLevel="0" collapsed="false">
      <c r="A64" s="35" t="n">
        <v>45809</v>
      </c>
      <c r="B64" s="36" t="s">
        <v>61</v>
      </c>
      <c r="C64" s="32" t="n">
        <v>696.8</v>
      </c>
      <c r="D64" s="32" t="s">
        <v>42</v>
      </c>
      <c r="E64" s="32" t="s">
        <v>48</v>
      </c>
    </row>
    <row r="65" customFormat="false" ht="13.8" hidden="false" customHeight="false" outlineLevel="0" collapsed="false">
      <c r="A65" s="35" t="n">
        <v>45809</v>
      </c>
      <c r="B65" s="36" t="s">
        <v>62</v>
      </c>
      <c r="C65" s="32" t="n">
        <v>159.6</v>
      </c>
      <c r="D65" s="32" t="s">
        <v>42</v>
      </c>
      <c r="E65" s="32" t="s">
        <v>48</v>
      </c>
    </row>
    <row r="66" customFormat="false" ht="13.8" hidden="false" customHeight="false" outlineLevel="0" collapsed="false">
      <c r="A66" s="35" t="n">
        <v>45809</v>
      </c>
      <c r="B66" s="36" t="s">
        <v>63</v>
      </c>
      <c r="C66" s="32" t="n">
        <v>336.2</v>
      </c>
      <c r="D66" s="32" t="s">
        <v>42</v>
      </c>
      <c r="E66" s="32" t="s">
        <v>48</v>
      </c>
    </row>
    <row r="67" customFormat="false" ht="13.8" hidden="false" customHeight="false" outlineLevel="0" collapsed="false">
      <c r="A67" s="35" t="n">
        <v>45809</v>
      </c>
      <c r="B67" s="36" t="s">
        <v>64</v>
      </c>
      <c r="C67" s="32" t="n">
        <v>142.1</v>
      </c>
      <c r="D67" s="32" t="s">
        <v>42</v>
      </c>
      <c r="E67" s="32" t="s">
        <v>48</v>
      </c>
    </row>
    <row r="68" customFormat="false" ht="13.8" hidden="false" customHeight="false" outlineLevel="0" collapsed="false">
      <c r="A68" s="35" t="n">
        <v>45809</v>
      </c>
      <c r="B68" s="36" t="s">
        <v>65</v>
      </c>
      <c r="C68" s="32" t="n">
        <v>452</v>
      </c>
      <c r="D68" s="32" t="s">
        <v>42</v>
      </c>
      <c r="E68" s="32" t="s">
        <v>48</v>
      </c>
    </row>
    <row r="69" customFormat="false" ht="13.8" hidden="false" customHeight="false" outlineLevel="0" collapsed="false">
      <c r="A69" s="35" t="n">
        <v>45809</v>
      </c>
      <c r="B69" s="36" t="s">
        <v>66</v>
      </c>
      <c r="C69" s="32" t="n">
        <v>22.7</v>
      </c>
      <c r="D69" s="32" t="s">
        <v>42</v>
      </c>
      <c r="E69" s="32" t="s">
        <v>48</v>
      </c>
    </row>
    <row r="70" customFormat="false" ht="13.8" hidden="false" customHeight="false" outlineLevel="0" collapsed="false">
      <c r="A70" s="35" t="n">
        <v>45809</v>
      </c>
      <c r="B70" s="36" t="s">
        <v>67</v>
      </c>
      <c r="C70" s="32" t="n">
        <v>564.8</v>
      </c>
      <c r="D70" s="32" t="s">
        <v>42</v>
      </c>
      <c r="E70" s="32" t="s">
        <v>48</v>
      </c>
    </row>
    <row r="71" customFormat="false" ht="13.8" hidden="false" customHeight="false" outlineLevel="0" collapsed="false">
      <c r="A71" s="35" t="n">
        <v>45809</v>
      </c>
      <c r="B71" s="36" t="s">
        <v>68</v>
      </c>
      <c r="C71" s="32" t="n">
        <v>457.5</v>
      </c>
      <c r="D71" s="32" t="s">
        <v>42</v>
      </c>
      <c r="E71" s="32" t="s">
        <v>48</v>
      </c>
    </row>
    <row r="72" customFormat="false" ht="13.8" hidden="false" customHeight="false" outlineLevel="0" collapsed="false">
      <c r="A72" s="35" t="n">
        <v>45809</v>
      </c>
      <c r="B72" s="36" t="s">
        <v>69</v>
      </c>
      <c r="C72" s="32" t="n">
        <v>192.5</v>
      </c>
      <c r="D72" s="32" t="s">
        <v>42</v>
      </c>
      <c r="E72" s="32" t="s">
        <v>48</v>
      </c>
    </row>
    <row r="73" customFormat="false" ht="13.8" hidden="false" customHeight="false" outlineLevel="0" collapsed="false">
      <c r="A73" s="35" t="n">
        <v>45809</v>
      </c>
      <c r="B73" s="36" t="s">
        <v>70</v>
      </c>
      <c r="C73" s="32" t="n">
        <v>107.3</v>
      </c>
      <c r="D73" s="32" t="s">
        <v>42</v>
      </c>
      <c r="E73" s="32" t="s">
        <v>48</v>
      </c>
    </row>
    <row r="74" customFormat="false" ht="13.8" hidden="false" customHeight="false" outlineLevel="0" collapsed="false">
      <c r="A74" s="35" t="n">
        <v>45839</v>
      </c>
      <c r="B74" s="36" t="s">
        <v>59</v>
      </c>
      <c r="C74" s="32" t="n">
        <v>149.6</v>
      </c>
      <c r="D74" s="32" t="s">
        <v>42</v>
      </c>
      <c r="E74" s="32" t="s">
        <v>48</v>
      </c>
    </row>
    <row r="75" customFormat="false" ht="13.8" hidden="false" customHeight="false" outlineLevel="0" collapsed="false">
      <c r="A75" s="35" t="n">
        <v>45839</v>
      </c>
      <c r="B75" s="36" t="s">
        <v>60</v>
      </c>
      <c r="C75" s="32" t="n">
        <v>588.4</v>
      </c>
      <c r="D75" s="32" t="s">
        <v>42</v>
      </c>
      <c r="E75" s="32" t="s">
        <v>48</v>
      </c>
    </row>
    <row r="76" customFormat="false" ht="13.8" hidden="false" customHeight="false" outlineLevel="0" collapsed="false">
      <c r="A76" s="35" t="n">
        <v>45839</v>
      </c>
      <c r="B76" s="36" t="s">
        <v>61</v>
      </c>
      <c r="C76" s="32" t="n">
        <v>696.2</v>
      </c>
      <c r="D76" s="32" t="s">
        <v>42</v>
      </c>
      <c r="E76" s="32" t="s">
        <v>48</v>
      </c>
    </row>
    <row r="77" customFormat="false" ht="13.8" hidden="false" customHeight="false" outlineLevel="0" collapsed="false">
      <c r="A77" s="35" t="n">
        <v>45839</v>
      </c>
      <c r="B77" s="36" t="s">
        <v>62</v>
      </c>
      <c r="C77" s="32" t="n">
        <v>174.7</v>
      </c>
      <c r="D77" s="32" t="s">
        <v>42</v>
      </c>
      <c r="E77" s="32" t="s">
        <v>48</v>
      </c>
    </row>
    <row r="78" customFormat="false" ht="13.8" hidden="false" customHeight="false" outlineLevel="0" collapsed="false">
      <c r="A78" s="35" t="n">
        <v>45839</v>
      </c>
      <c r="B78" s="36" t="s">
        <v>63</v>
      </c>
      <c r="C78" s="32" t="n">
        <v>338.3</v>
      </c>
      <c r="D78" s="32" t="s">
        <v>42</v>
      </c>
      <c r="E78" s="32" t="s">
        <v>48</v>
      </c>
    </row>
    <row r="79" customFormat="false" ht="13.8" hidden="false" customHeight="false" outlineLevel="0" collapsed="false">
      <c r="A79" s="35" t="n">
        <v>45839</v>
      </c>
      <c r="B79" s="36" t="s">
        <v>64</v>
      </c>
      <c r="C79" s="32" t="n">
        <v>153.7</v>
      </c>
      <c r="D79" s="32" t="s">
        <v>42</v>
      </c>
      <c r="E79" s="32" t="s">
        <v>48</v>
      </c>
    </row>
    <row r="80" customFormat="false" ht="13.8" hidden="false" customHeight="false" outlineLevel="0" collapsed="false">
      <c r="A80" s="35" t="n">
        <v>45839</v>
      </c>
      <c r="B80" s="36" t="s">
        <v>65</v>
      </c>
      <c r="C80" s="32" t="n">
        <v>454.6</v>
      </c>
      <c r="D80" s="32" t="s">
        <v>42</v>
      </c>
      <c r="E80" s="32" t="s">
        <v>48</v>
      </c>
    </row>
    <row r="81" customFormat="false" ht="13.8" hidden="false" customHeight="false" outlineLevel="0" collapsed="false">
      <c r="A81" s="35" t="n">
        <v>45839</v>
      </c>
      <c r="B81" s="36" t="s">
        <v>66</v>
      </c>
      <c r="C81" s="32" t="n">
        <v>21.5</v>
      </c>
      <c r="D81" s="32" t="s">
        <v>42</v>
      </c>
      <c r="E81" s="32" t="s">
        <v>48</v>
      </c>
    </row>
    <row r="82" customFormat="false" ht="13.8" hidden="false" customHeight="false" outlineLevel="0" collapsed="false">
      <c r="A82" s="35" t="n">
        <v>45839</v>
      </c>
      <c r="B82" s="36" t="s">
        <v>67</v>
      </c>
      <c r="C82" s="32" t="n">
        <v>572.5</v>
      </c>
      <c r="D82" s="32" t="s">
        <v>42</v>
      </c>
      <c r="E82" s="32" t="s">
        <v>48</v>
      </c>
    </row>
    <row r="83" customFormat="false" ht="13.8" hidden="false" customHeight="false" outlineLevel="0" collapsed="false">
      <c r="A83" s="35" t="n">
        <v>45839</v>
      </c>
      <c r="B83" s="36" t="s">
        <v>68</v>
      </c>
      <c r="C83" s="32" t="n">
        <v>461.6</v>
      </c>
      <c r="D83" s="32" t="s">
        <v>42</v>
      </c>
      <c r="E83" s="32" t="s">
        <v>48</v>
      </c>
    </row>
    <row r="84" customFormat="false" ht="13.8" hidden="false" customHeight="false" outlineLevel="0" collapsed="false">
      <c r="A84" s="35" t="n">
        <v>45839</v>
      </c>
      <c r="B84" s="36" t="s">
        <v>69</v>
      </c>
      <c r="C84" s="32" t="n">
        <v>194.4</v>
      </c>
      <c r="D84" s="32" t="s">
        <v>42</v>
      </c>
      <c r="E84" s="32" t="s">
        <v>48</v>
      </c>
    </row>
    <row r="85" customFormat="false" ht="13.8" hidden="false" customHeight="false" outlineLevel="0" collapsed="false">
      <c r="A85" s="35" t="n">
        <v>45839</v>
      </c>
      <c r="B85" s="36" t="s">
        <v>70</v>
      </c>
      <c r="C85" s="32" t="n">
        <v>97.4</v>
      </c>
      <c r="D85" s="32" t="s">
        <v>42</v>
      </c>
      <c r="E85" s="32" t="s">
        <v>48</v>
      </c>
    </row>
    <row r="86" customFormat="false" ht="13.8" hidden="false" customHeight="false" outlineLevel="0" collapsed="false">
      <c r="A86" s="35" t="n">
        <v>45870</v>
      </c>
      <c r="B86" s="36" t="s">
        <v>59</v>
      </c>
      <c r="C86" s="32" t="n">
        <v>149.3</v>
      </c>
      <c r="D86" s="32" t="s">
        <v>42</v>
      </c>
      <c r="E86" s="32" t="s">
        <v>48</v>
      </c>
    </row>
    <row r="87" customFormat="false" ht="13.8" hidden="false" customHeight="false" outlineLevel="0" collapsed="false">
      <c r="A87" s="35" t="n">
        <v>45870</v>
      </c>
      <c r="B87" s="36" t="s">
        <v>60</v>
      </c>
      <c r="C87" s="32" t="n">
        <v>572.8</v>
      </c>
      <c r="D87" s="32" t="s">
        <v>42</v>
      </c>
      <c r="E87" s="32" t="s">
        <v>48</v>
      </c>
    </row>
    <row r="88" customFormat="false" ht="13.8" hidden="false" customHeight="false" outlineLevel="0" collapsed="false">
      <c r="A88" s="35" t="n">
        <v>45870</v>
      </c>
      <c r="B88" s="36" t="s">
        <v>61</v>
      </c>
      <c r="C88" s="32" t="n">
        <v>694.5</v>
      </c>
      <c r="D88" s="32" t="s">
        <v>42</v>
      </c>
      <c r="E88" s="32" t="s">
        <v>48</v>
      </c>
    </row>
    <row r="89" customFormat="false" ht="13.8" hidden="false" customHeight="false" outlineLevel="0" collapsed="false">
      <c r="A89" s="35" t="n">
        <v>45870</v>
      </c>
      <c r="B89" s="36" t="s">
        <v>62</v>
      </c>
      <c r="C89" s="32" t="n">
        <v>180.3</v>
      </c>
      <c r="D89" s="32" t="s">
        <v>42</v>
      </c>
      <c r="E89" s="32" t="s">
        <v>48</v>
      </c>
    </row>
    <row r="90" customFormat="false" ht="13.8" hidden="false" customHeight="false" outlineLevel="0" collapsed="false">
      <c r="A90" s="35" t="n">
        <v>45870</v>
      </c>
      <c r="B90" s="36" t="s">
        <v>63</v>
      </c>
      <c r="C90" s="32" t="n">
        <v>334.9</v>
      </c>
      <c r="D90" s="32" t="s">
        <v>42</v>
      </c>
      <c r="E90" s="32" t="s">
        <v>48</v>
      </c>
    </row>
    <row r="91" customFormat="false" ht="13.8" hidden="false" customHeight="false" outlineLevel="0" collapsed="false">
      <c r="A91" s="35" t="n">
        <v>45870</v>
      </c>
      <c r="B91" s="36" t="s">
        <v>64</v>
      </c>
      <c r="C91" s="32" t="n">
        <v>154.5</v>
      </c>
      <c r="D91" s="32" t="s">
        <v>42</v>
      </c>
      <c r="E91" s="32" t="s">
        <v>48</v>
      </c>
    </row>
    <row r="92" customFormat="false" ht="13.8" hidden="false" customHeight="false" outlineLevel="0" collapsed="false">
      <c r="A92" s="35" t="n">
        <v>45870</v>
      </c>
      <c r="B92" s="36" t="s">
        <v>65</v>
      </c>
      <c r="C92" s="32" t="n">
        <v>458.8</v>
      </c>
      <c r="D92" s="32" t="s">
        <v>42</v>
      </c>
      <c r="E92" s="32" t="s">
        <v>48</v>
      </c>
    </row>
    <row r="93" customFormat="false" ht="13.8" hidden="false" customHeight="false" outlineLevel="0" collapsed="false">
      <c r="A93" s="35" t="n">
        <v>45870</v>
      </c>
      <c r="B93" s="36" t="s">
        <v>66</v>
      </c>
      <c r="C93" s="32" t="n">
        <v>22</v>
      </c>
      <c r="D93" s="32" t="s">
        <v>42</v>
      </c>
      <c r="E93" s="32" t="s">
        <v>48</v>
      </c>
    </row>
    <row r="94" customFormat="false" ht="13.8" hidden="false" customHeight="false" outlineLevel="0" collapsed="false">
      <c r="A94" s="35" t="n">
        <v>45870</v>
      </c>
      <c r="B94" s="36" t="s">
        <v>67</v>
      </c>
      <c r="C94" s="32" t="n">
        <v>567.8</v>
      </c>
      <c r="D94" s="32" t="s">
        <v>42</v>
      </c>
      <c r="E94" s="32" t="s">
        <v>48</v>
      </c>
    </row>
    <row r="95" customFormat="false" ht="13.8" hidden="false" customHeight="false" outlineLevel="0" collapsed="false">
      <c r="A95" s="35" t="n">
        <v>45870</v>
      </c>
      <c r="B95" s="36" t="s">
        <v>68</v>
      </c>
      <c r="C95" s="32" t="n">
        <v>464.7</v>
      </c>
      <c r="D95" s="32" t="s">
        <v>42</v>
      </c>
      <c r="E95" s="32" t="s">
        <v>48</v>
      </c>
    </row>
    <row r="96" customFormat="false" ht="13.8" hidden="false" customHeight="false" outlineLevel="0" collapsed="false">
      <c r="A96" s="35" t="n">
        <v>45870</v>
      </c>
      <c r="B96" s="36" t="s">
        <v>69</v>
      </c>
      <c r="C96" s="32" t="n">
        <v>197.6</v>
      </c>
      <c r="D96" s="32" t="s">
        <v>42</v>
      </c>
      <c r="E96" s="32" t="s">
        <v>48</v>
      </c>
    </row>
    <row r="97" customFormat="false" ht="13.8" hidden="false" customHeight="false" outlineLevel="0" collapsed="false">
      <c r="A97" s="35" t="n">
        <v>45870</v>
      </c>
      <c r="B97" s="36" t="s">
        <v>70</v>
      </c>
      <c r="C97" s="32" t="n">
        <v>103.2</v>
      </c>
      <c r="D97" s="32" t="s">
        <v>42</v>
      </c>
      <c r="E97" s="32" t="s">
        <v>48</v>
      </c>
    </row>
    <row r="98" customFormat="false" ht="13.8" hidden="false" customHeight="false" outlineLevel="0" collapsed="false">
      <c r="A98" s="35" t="n">
        <v>45901</v>
      </c>
      <c r="B98" s="36" t="s">
        <v>59</v>
      </c>
      <c r="C98" s="32" t="n">
        <v>153.5</v>
      </c>
      <c r="D98" s="32" t="s">
        <v>42</v>
      </c>
      <c r="E98" s="32" t="s">
        <v>48</v>
      </c>
    </row>
    <row r="99" customFormat="false" ht="13.8" hidden="false" customHeight="false" outlineLevel="0" collapsed="false">
      <c r="A99" s="35" t="n">
        <v>45901</v>
      </c>
      <c r="B99" s="36" t="s">
        <v>60</v>
      </c>
      <c r="C99" s="32" t="n">
        <v>590.3</v>
      </c>
      <c r="D99" s="32" t="s">
        <v>42</v>
      </c>
      <c r="E99" s="32" t="s">
        <v>48</v>
      </c>
    </row>
    <row r="100" customFormat="false" ht="13.8" hidden="false" customHeight="false" outlineLevel="0" collapsed="false">
      <c r="A100" s="35" t="n">
        <v>45901</v>
      </c>
      <c r="B100" s="36" t="s">
        <v>61</v>
      </c>
      <c r="C100" s="32" t="n">
        <v>702.4</v>
      </c>
      <c r="D100" s="32" t="s">
        <v>42</v>
      </c>
      <c r="E100" s="32" t="s">
        <v>48</v>
      </c>
    </row>
    <row r="101" customFormat="false" ht="13.8" hidden="false" customHeight="false" outlineLevel="0" collapsed="false">
      <c r="A101" s="35" t="n">
        <v>45901</v>
      </c>
      <c r="B101" s="36" t="s">
        <v>62</v>
      </c>
      <c r="C101" s="32" t="n">
        <v>192.5</v>
      </c>
      <c r="D101" s="32" t="s">
        <v>42</v>
      </c>
      <c r="E101" s="32" t="s">
        <v>48</v>
      </c>
    </row>
    <row r="102" customFormat="false" ht="13.8" hidden="false" customHeight="false" outlineLevel="0" collapsed="false">
      <c r="A102" s="35" t="n">
        <v>45901</v>
      </c>
      <c r="B102" s="36" t="s">
        <v>63</v>
      </c>
      <c r="C102" s="32" t="n">
        <v>343.4</v>
      </c>
      <c r="D102" s="32" t="s">
        <v>42</v>
      </c>
      <c r="E102" s="32" t="s">
        <v>48</v>
      </c>
    </row>
    <row r="103" customFormat="false" ht="13.8" hidden="false" customHeight="false" outlineLevel="0" collapsed="false">
      <c r="A103" s="35" t="n">
        <v>45901</v>
      </c>
      <c r="B103" s="36" t="s">
        <v>64</v>
      </c>
      <c r="C103" s="32" t="n">
        <v>154.6</v>
      </c>
      <c r="D103" s="32" t="s">
        <v>42</v>
      </c>
      <c r="E103" s="32" t="s">
        <v>48</v>
      </c>
    </row>
    <row r="104" customFormat="false" ht="13.8" hidden="false" customHeight="false" outlineLevel="0" collapsed="false">
      <c r="A104" s="35" t="n">
        <v>45901</v>
      </c>
      <c r="B104" s="36" t="s">
        <v>65</v>
      </c>
      <c r="C104" s="32" t="n">
        <v>459.7</v>
      </c>
      <c r="D104" s="32" t="s">
        <v>42</v>
      </c>
      <c r="E104" s="32" t="s">
        <v>48</v>
      </c>
    </row>
    <row r="105" customFormat="false" ht="13.8" hidden="false" customHeight="false" outlineLevel="0" collapsed="false">
      <c r="A105" s="35" t="n">
        <v>45901</v>
      </c>
      <c r="B105" s="36" t="s">
        <v>66</v>
      </c>
      <c r="C105" s="32" t="n">
        <v>21.5</v>
      </c>
      <c r="D105" s="32" t="s">
        <v>42</v>
      </c>
      <c r="E105" s="32" t="s">
        <v>48</v>
      </c>
    </row>
    <row r="106" customFormat="false" ht="13.8" hidden="false" customHeight="false" outlineLevel="0" collapsed="false">
      <c r="A106" s="35" t="n">
        <v>45901</v>
      </c>
      <c r="B106" s="36" t="s">
        <v>67</v>
      </c>
      <c r="C106" s="32" t="n">
        <v>570.8</v>
      </c>
      <c r="D106" s="32" t="s">
        <v>42</v>
      </c>
      <c r="E106" s="32" t="s">
        <v>48</v>
      </c>
    </row>
    <row r="107" customFormat="false" ht="13.8" hidden="false" customHeight="false" outlineLevel="0" collapsed="false">
      <c r="A107" s="35" t="n">
        <v>45901</v>
      </c>
      <c r="B107" s="36" t="s">
        <v>68</v>
      </c>
      <c r="C107" s="32" t="n">
        <v>468.5</v>
      </c>
      <c r="D107" s="32" t="s">
        <v>42</v>
      </c>
      <c r="E107" s="32" t="s">
        <v>48</v>
      </c>
    </row>
    <row r="108" customFormat="false" ht="13.8" hidden="false" customHeight="false" outlineLevel="0" collapsed="false">
      <c r="A108" s="35" t="n">
        <v>45901</v>
      </c>
      <c r="B108" s="36" t="s">
        <v>69</v>
      </c>
      <c r="C108" s="32" t="n">
        <v>197.4</v>
      </c>
      <c r="D108" s="32" t="s">
        <v>42</v>
      </c>
      <c r="E108" s="32" t="s">
        <v>48</v>
      </c>
    </row>
    <row r="109" customFormat="false" ht="13.8" hidden="false" customHeight="false" outlineLevel="0" collapsed="false">
      <c r="A109" s="35" t="n">
        <v>45901</v>
      </c>
      <c r="B109" s="36" t="s">
        <v>70</v>
      </c>
      <c r="C109" s="32" t="n">
        <v>125.2</v>
      </c>
      <c r="D109" s="32" t="s">
        <v>42</v>
      </c>
      <c r="E109" s="32" t="s">
        <v>48</v>
      </c>
    </row>
    <row r="110" customFormat="false" ht="13.8" hidden="false" customHeight="false" outlineLevel="0" collapsed="false">
      <c r="A110" s="35" t="n">
        <v>45931</v>
      </c>
      <c r="B110" s="36" t="s">
        <v>59</v>
      </c>
      <c r="C110" s="32" t="n">
        <v>172.9</v>
      </c>
      <c r="D110" s="32" t="s">
        <v>42</v>
      </c>
      <c r="E110" s="32" t="s">
        <v>48</v>
      </c>
    </row>
    <row r="111" customFormat="false" ht="13.8" hidden="false" customHeight="false" outlineLevel="0" collapsed="false">
      <c r="A111" s="35" t="n">
        <v>45931</v>
      </c>
      <c r="B111" s="36" t="s">
        <v>60</v>
      </c>
      <c r="C111" s="32" t="n">
        <v>608</v>
      </c>
      <c r="D111" s="32" t="s">
        <v>42</v>
      </c>
      <c r="E111" s="32" t="s">
        <v>48</v>
      </c>
    </row>
    <row r="112" customFormat="false" ht="13.8" hidden="false" customHeight="false" outlineLevel="0" collapsed="false">
      <c r="A112" s="35" t="n">
        <v>45931</v>
      </c>
      <c r="B112" s="36" t="s">
        <v>61</v>
      </c>
      <c r="C112" s="32" t="n">
        <v>708.4</v>
      </c>
      <c r="D112" s="32" t="s">
        <v>42</v>
      </c>
      <c r="E112" s="32" t="s">
        <v>48</v>
      </c>
    </row>
    <row r="113" customFormat="false" ht="13.8" hidden="false" customHeight="false" outlineLevel="0" collapsed="false">
      <c r="A113" s="35" t="n">
        <v>45931</v>
      </c>
      <c r="B113" s="36" t="s">
        <v>62</v>
      </c>
      <c r="C113" s="32" t="n">
        <v>191.1</v>
      </c>
      <c r="D113" s="32" t="s">
        <v>42</v>
      </c>
      <c r="E113" s="32" t="s">
        <v>48</v>
      </c>
    </row>
    <row r="114" customFormat="false" ht="13.8" hidden="false" customHeight="false" outlineLevel="0" collapsed="false">
      <c r="A114" s="35" t="n">
        <v>45931</v>
      </c>
      <c r="B114" s="36" t="s">
        <v>63</v>
      </c>
      <c r="C114" s="32" t="n">
        <v>341.6</v>
      </c>
      <c r="D114" s="32" t="s">
        <v>42</v>
      </c>
      <c r="E114" s="32" t="s">
        <v>48</v>
      </c>
    </row>
    <row r="115" customFormat="false" ht="13.8" hidden="false" customHeight="false" outlineLevel="0" collapsed="false">
      <c r="A115" s="35" t="n">
        <v>45931</v>
      </c>
      <c r="B115" s="36" t="s">
        <v>64</v>
      </c>
      <c r="C115" s="32" t="n">
        <v>159.4</v>
      </c>
      <c r="D115" s="32" t="s">
        <v>42</v>
      </c>
      <c r="E115" s="32" t="s">
        <v>48</v>
      </c>
    </row>
    <row r="116" customFormat="false" ht="13.8" hidden="false" customHeight="false" outlineLevel="0" collapsed="false">
      <c r="A116" s="35" t="n">
        <v>45931</v>
      </c>
      <c r="B116" s="36" t="s">
        <v>65</v>
      </c>
      <c r="C116" s="32" t="n">
        <v>472.3</v>
      </c>
      <c r="D116" s="32" t="s">
        <v>42</v>
      </c>
      <c r="E116" s="32" t="s">
        <v>48</v>
      </c>
    </row>
    <row r="117" customFormat="false" ht="13.8" hidden="false" customHeight="false" outlineLevel="0" collapsed="false">
      <c r="A117" s="35" t="n">
        <v>45931</v>
      </c>
      <c r="B117" s="36" t="s">
        <v>66</v>
      </c>
      <c r="C117" s="32" t="n">
        <v>22.7</v>
      </c>
      <c r="D117" s="32" t="s">
        <v>42</v>
      </c>
      <c r="E117" s="32" t="s">
        <v>48</v>
      </c>
    </row>
    <row r="118" customFormat="false" ht="13.8" hidden="false" customHeight="false" outlineLevel="0" collapsed="false">
      <c r="A118" s="35" t="n">
        <v>45931</v>
      </c>
      <c r="B118" s="36" t="s">
        <v>67</v>
      </c>
      <c r="C118" s="32" t="n">
        <v>581.6</v>
      </c>
      <c r="D118" s="32" t="s">
        <v>42</v>
      </c>
      <c r="E118" s="32" t="s">
        <v>48</v>
      </c>
    </row>
    <row r="119" customFormat="false" ht="13.8" hidden="false" customHeight="false" outlineLevel="0" collapsed="false">
      <c r="A119" s="35" t="n">
        <v>45931</v>
      </c>
      <c r="B119" s="36" t="s">
        <v>68</v>
      </c>
      <c r="C119" s="32" t="n">
        <v>456.2</v>
      </c>
      <c r="D119" s="32" t="s">
        <v>42</v>
      </c>
      <c r="E119" s="32" t="s">
        <v>48</v>
      </c>
    </row>
    <row r="120" customFormat="false" ht="13.8" hidden="false" customHeight="false" outlineLevel="0" collapsed="false">
      <c r="A120" s="35" t="n">
        <v>45931</v>
      </c>
      <c r="B120" s="36" t="s">
        <v>69</v>
      </c>
      <c r="C120" s="32" t="n">
        <v>198.3</v>
      </c>
      <c r="D120" s="32" t="s">
        <v>42</v>
      </c>
      <c r="E120" s="32" t="s">
        <v>48</v>
      </c>
    </row>
    <row r="121" customFormat="false" ht="13.8" hidden="false" customHeight="false" outlineLevel="0" collapsed="false">
      <c r="A121" s="35" t="n">
        <v>45931</v>
      </c>
      <c r="B121" s="36" t="s">
        <v>70</v>
      </c>
      <c r="C121" s="32" t="n">
        <v>126.5</v>
      </c>
      <c r="D121" s="32" t="s">
        <v>42</v>
      </c>
      <c r="E121" s="32" t="s">
        <v>48</v>
      </c>
    </row>
    <row r="122" customFormat="false" ht="13.8" hidden="false" customHeight="false" outlineLevel="0" collapsed="false">
      <c r="A122" s="35" t="n">
        <v>45962</v>
      </c>
      <c r="B122" s="36" t="s">
        <v>59</v>
      </c>
      <c r="C122" s="32" t="n">
        <v>181</v>
      </c>
      <c r="D122" s="32" t="s">
        <v>42</v>
      </c>
      <c r="E122" s="32" t="s">
        <v>48</v>
      </c>
    </row>
    <row r="123" customFormat="false" ht="13.8" hidden="false" customHeight="false" outlineLevel="0" collapsed="false">
      <c r="A123" s="35" t="n">
        <v>45962</v>
      </c>
      <c r="B123" s="36" t="s">
        <v>60</v>
      </c>
      <c r="C123" s="32" t="n">
        <v>604.6</v>
      </c>
      <c r="D123" s="32" t="s">
        <v>42</v>
      </c>
      <c r="E123" s="32" t="s">
        <v>48</v>
      </c>
    </row>
    <row r="124" customFormat="false" ht="13.8" hidden="false" customHeight="false" outlineLevel="0" collapsed="false">
      <c r="A124" s="35" t="n">
        <v>45962</v>
      </c>
      <c r="B124" s="36" t="s">
        <v>61</v>
      </c>
      <c r="C124" s="32" t="n">
        <v>710.7</v>
      </c>
      <c r="D124" s="32" t="s">
        <v>42</v>
      </c>
      <c r="E124" s="32" t="s">
        <v>48</v>
      </c>
    </row>
    <row r="125" customFormat="false" ht="13.8" hidden="false" customHeight="false" outlineLevel="0" collapsed="false">
      <c r="A125" s="35" t="n">
        <v>45962</v>
      </c>
      <c r="B125" s="36" t="s">
        <v>62</v>
      </c>
      <c r="C125" s="32" t="n">
        <v>191.2</v>
      </c>
      <c r="D125" s="32" t="s">
        <v>42</v>
      </c>
      <c r="E125" s="32" t="s">
        <v>48</v>
      </c>
    </row>
    <row r="126" customFormat="false" ht="13.8" hidden="false" customHeight="false" outlineLevel="0" collapsed="false">
      <c r="A126" s="35" t="n">
        <v>45962</v>
      </c>
      <c r="B126" s="36" t="s">
        <v>63</v>
      </c>
      <c r="C126" s="32" t="n">
        <v>327.7</v>
      </c>
      <c r="D126" s="32" t="s">
        <v>42</v>
      </c>
      <c r="E126" s="32" t="s">
        <v>48</v>
      </c>
    </row>
    <row r="127" customFormat="false" ht="13.8" hidden="false" customHeight="false" outlineLevel="0" collapsed="false">
      <c r="A127" s="35" t="n">
        <v>45962</v>
      </c>
      <c r="B127" s="36" t="s">
        <v>64</v>
      </c>
      <c r="C127" s="32" t="n">
        <v>166.9</v>
      </c>
      <c r="D127" s="32" t="s">
        <v>42</v>
      </c>
      <c r="E127" s="32" t="s">
        <v>48</v>
      </c>
    </row>
    <row r="128" customFormat="false" ht="13.8" hidden="false" customHeight="false" outlineLevel="0" collapsed="false">
      <c r="A128" s="35" t="n">
        <v>45962</v>
      </c>
      <c r="B128" s="36" t="s">
        <v>65</v>
      </c>
      <c r="C128" s="32" t="n">
        <v>469.6</v>
      </c>
      <c r="D128" s="32" t="s">
        <v>42</v>
      </c>
      <c r="E128" s="32" t="s">
        <v>48</v>
      </c>
    </row>
    <row r="129" customFormat="false" ht="13.8" hidden="false" customHeight="false" outlineLevel="0" collapsed="false">
      <c r="A129" s="35" t="n">
        <v>45962</v>
      </c>
      <c r="B129" s="36" t="s">
        <v>66</v>
      </c>
      <c r="C129" s="32" t="n">
        <v>28.5</v>
      </c>
      <c r="D129" s="32" t="s">
        <v>42</v>
      </c>
      <c r="E129" s="32" t="s">
        <v>48</v>
      </c>
    </row>
    <row r="130" customFormat="false" ht="13.8" hidden="false" customHeight="false" outlineLevel="0" collapsed="false">
      <c r="A130" s="35" t="n">
        <v>45962</v>
      </c>
      <c r="B130" s="36" t="s">
        <v>67</v>
      </c>
      <c r="C130" s="32" t="n">
        <v>579.4</v>
      </c>
      <c r="D130" s="32" t="s">
        <v>42</v>
      </c>
      <c r="E130" s="32" t="s">
        <v>48</v>
      </c>
    </row>
    <row r="131" customFormat="false" ht="13.8" hidden="false" customHeight="false" outlineLevel="0" collapsed="false">
      <c r="A131" s="35" t="n">
        <v>45962</v>
      </c>
      <c r="B131" s="36" t="s">
        <v>68</v>
      </c>
      <c r="C131" s="32" t="n">
        <v>458.8</v>
      </c>
      <c r="D131" s="32" t="s">
        <v>42</v>
      </c>
      <c r="E131" s="32" t="s">
        <v>48</v>
      </c>
    </row>
    <row r="132" customFormat="false" ht="13.8" hidden="false" customHeight="false" outlineLevel="0" collapsed="false">
      <c r="A132" s="35" t="n">
        <v>45962</v>
      </c>
      <c r="B132" s="36" t="s">
        <v>69</v>
      </c>
      <c r="C132" s="32" t="n">
        <v>200.7</v>
      </c>
      <c r="D132" s="32" t="s">
        <v>42</v>
      </c>
      <c r="E132" s="32" t="s">
        <v>48</v>
      </c>
    </row>
    <row r="133" customFormat="false" ht="13.8" hidden="false" customHeight="false" outlineLevel="0" collapsed="false">
      <c r="A133" s="35" t="n">
        <v>45962</v>
      </c>
      <c r="B133" s="36" t="s">
        <v>70</v>
      </c>
      <c r="C133" s="32" t="n">
        <v>134.8</v>
      </c>
      <c r="D133" s="32" t="s">
        <v>42</v>
      </c>
      <c r="E133" s="32" t="s">
        <v>48</v>
      </c>
    </row>
    <row r="134" customFormat="false" ht="13.8" hidden="false" customHeight="false" outlineLevel="0" collapsed="false">
      <c r="A134" s="35" t="n">
        <v>45992</v>
      </c>
      <c r="B134" s="36" t="s">
        <v>59</v>
      </c>
      <c r="C134" s="32" t="n">
        <v>192</v>
      </c>
      <c r="D134" s="32" t="s">
        <v>42</v>
      </c>
      <c r="E134" s="32" t="s">
        <v>48</v>
      </c>
    </row>
    <row r="135" customFormat="false" ht="13.8" hidden="false" customHeight="false" outlineLevel="0" collapsed="false">
      <c r="A135" s="35" t="n">
        <v>45992</v>
      </c>
      <c r="B135" s="36" t="s">
        <v>60</v>
      </c>
      <c r="C135" s="32" t="n">
        <v>584.2</v>
      </c>
      <c r="D135" s="32" t="s">
        <v>42</v>
      </c>
      <c r="E135" s="32" t="s">
        <v>48</v>
      </c>
    </row>
    <row r="136" customFormat="false" ht="13.8" hidden="false" customHeight="false" outlineLevel="0" collapsed="false">
      <c r="A136" s="35" t="n">
        <v>45992</v>
      </c>
      <c r="B136" s="36" t="s">
        <v>61</v>
      </c>
      <c r="C136" s="32" t="n">
        <v>739.4</v>
      </c>
      <c r="D136" s="32" t="s">
        <v>42</v>
      </c>
      <c r="E136" s="32" t="s">
        <v>48</v>
      </c>
    </row>
    <row r="137" customFormat="false" ht="13.8" hidden="false" customHeight="false" outlineLevel="0" collapsed="false">
      <c r="A137" s="35" t="n">
        <v>45992</v>
      </c>
      <c r="B137" s="36" t="s">
        <v>62</v>
      </c>
      <c r="C137" s="32" t="n">
        <v>184.4</v>
      </c>
      <c r="D137" s="32" t="s">
        <v>42</v>
      </c>
      <c r="E137" s="32" t="s">
        <v>48</v>
      </c>
    </row>
    <row r="138" customFormat="false" ht="13.8" hidden="false" customHeight="false" outlineLevel="0" collapsed="false">
      <c r="A138" s="35" t="n">
        <v>45992</v>
      </c>
      <c r="B138" s="36" t="s">
        <v>63</v>
      </c>
      <c r="C138" s="32" t="n">
        <v>330.2</v>
      </c>
      <c r="D138" s="32" t="s">
        <v>42</v>
      </c>
      <c r="E138" s="32" t="s">
        <v>48</v>
      </c>
    </row>
    <row r="139" customFormat="false" ht="13.8" hidden="false" customHeight="false" outlineLevel="0" collapsed="false">
      <c r="A139" s="35" t="n">
        <v>45992</v>
      </c>
      <c r="B139" s="36" t="s">
        <v>64</v>
      </c>
      <c r="C139" s="32" t="n">
        <v>158.8</v>
      </c>
      <c r="D139" s="32" t="s">
        <v>42</v>
      </c>
      <c r="E139" s="32" t="s">
        <v>48</v>
      </c>
    </row>
    <row r="140" customFormat="false" ht="13.8" hidden="false" customHeight="false" outlineLevel="0" collapsed="false">
      <c r="A140" s="35" t="n">
        <v>45992</v>
      </c>
      <c r="B140" s="36" t="s">
        <v>65</v>
      </c>
      <c r="C140" s="32" t="n">
        <v>449</v>
      </c>
      <c r="D140" s="32" t="s">
        <v>42</v>
      </c>
      <c r="E140" s="32" t="s">
        <v>48</v>
      </c>
    </row>
    <row r="141" customFormat="false" ht="13.8" hidden="false" customHeight="false" outlineLevel="0" collapsed="false">
      <c r="A141" s="35" t="n">
        <v>45992</v>
      </c>
      <c r="B141" s="36" t="s">
        <v>66</v>
      </c>
      <c r="C141" s="32" t="n">
        <v>28.4</v>
      </c>
      <c r="D141" s="32" t="s">
        <v>42</v>
      </c>
      <c r="E141" s="32" t="s">
        <v>48</v>
      </c>
    </row>
    <row r="142" customFormat="false" ht="13.8" hidden="false" customHeight="false" outlineLevel="0" collapsed="false">
      <c r="A142" s="35" t="n">
        <v>45992</v>
      </c>
      <c r="B142" s="36" t="s">
        <v>67</v>
      </c>
      <c r="C142" s="32" t="n">
        <v>584.1</v>
      </c>
      <c r="D142" s="32" t="s">
        <v>42</v>
      </c>
      <c r="E142" s="32" t="s">
        <v>48</v>
      </c>
    </row>
    <row r="143" customFormat="false" ht="13.8" hidden="false" customHeight="false" outlineLevel="0" collapsed="false">
      <c r="A143" s="35" t="n">
        <v>45992</v>
      </c>
      <c r="B143" s="36" t="s">
        <v>68</v>
      </c>
      <c r="C143" s="32" t="n">
        <v>479.6</v>
      </c>
      <c r="D143" s="32" t="s">
        <v>42</v>
      </c>
      <c r="E143" s="32" t="s">
        <v>48</v>
      </c>
    </row>
    <row r="144" customFormat="false" ht="13.8" hidden="false" customHeight="false" outlineLevel="0" collapsed="false">
      <c r="A144" s="35" t="n">
        <v>45992</v>
      </c>
      <c r="B144" s="36" t="s">
        <v>69</v>
      </c>
      <c r="C144" s="32" t="n">
        <v>197.2</v>
      </c>
      <c r="D144" s="32" t="s">
        <v>42</v>
      </c>
      <c r="E144" s="32" t="s">
        <v>48</v>
      </c>
    </row>
    <row r="145" customFormat="false" ht="13.8" hidden="false" customHeight="false" outlineLevel="0" collapsed="false">
      <c r="A145" s="35" t="n">
        <v>45992</v>
      </c>
      <c r="B145" s="36" t="s">
        <v>70</v>
      </c>
      <c r="C145" s="32" t="n">
        <v>158.4</v>
      </c>
      <c r="D145" s="32" t="s">
        <v>42</v>
      </c>
      <c r="E145" s="32" t="s">
        <v>48</v>
      </c>
    </row>
    <row r="146" customFormat="false" ht="13.8" hidden="false" customHeight="false" outlineLevel="0" collapsed="false">
      <c r="A146" s="35" t="n">
        <v>46023</v>
      </c>
      <c r="B146" s="36" t="s">
        <v>59</v>
      </c>
      <c r="C146" s="32" t="n">
        <v>191.5</v>
      </c>
      <c r="D146" s="32" t="s">
        <v>42</v>
      </c>
      <c r="E146" s="32" t="s">
        <v>48</v>
      </c>
    </row>
    <row r="147" customFormat="false" ht="13.8" hidden="false" customHeight="false" outlineLevel="0" collapsed="false">
      <c r="A147" s="35" t="n">
        <v>46023</v>
      </c>
      <c r="B147" s="36" t="s">
        <v>60</v>
      </c>
      <c r="C147" s="32" t="n">
        <v>578.8</v>
      </c>
      <c r="D147" s="32" t="s">
        <v>42</v>
      </c>
      <c r="E147" s="32" t="s">
        <v>48</v>
      </c>
    </row>
    <row r="148" customFormat="false" ht="13.8" hidden="false" customHeight="false" outlineLevel="0" collapsed="false">
      <c r="A148" s="35" t="n">
        <v>46023</v>
      </c>
      <c r="B148" s="36" t="s">
        <v>61</v>
      </c>
      <c r="C148" s="32" t="n">
        <v>722.7</v>
      </c>
      <c r="D148" s="32" t="s">
        <v>42</v>
      </c>
      <c r="E148" s="32" t="s">
        <v>48</v>
      </c>
    </row>
    <row r="149" customFormat="false" ht="13.8" hidden="false" customHeight="false" outlineLevel="0" collapsed="false">
      <c r="A149" s="35" t="n">
        <v>46023</v>
      </c>
      <c r="B149" s="36" t="s">
        <v>62</v>
      </c>
      <c r="C149" s="32" t="n">
        <v>184.3</v>
      </c>
      <c r="D149" s="32" t="s">
        <v>42</v>
      </c>
      <c r="E149" s="32" t="s">
        <v>48</v>
      </c>
    </row>
    <row r="150" customFormat="false" ht="13.8" hidden="false" customHeight="false" outlineLevel="0" collapsed="false">
      <c r="A150" s="35" t="n">
        <v>46023</v>
      </c>
      <c r="B150" s="36" t="s">
        <v>63</v>
      </c>
      <c r="C150" s="32" t="n">
        <v>329.8</v>
      </c>
      <c r="D150" s="32" t="s">
        <v>42</v>
      </c>
      <c r="E150" s="32" t="s">
        <v>48</v>
      </c>
    </row>
    <row r="151" customFormat="false" ht="13.8" hidden="false" customHeight="false" outlineLevel="0" collapsed="false">
      <c r="A151" s="35" t="n">
        <v>46023</v>
      </c>
      <c r="B151" s="36" t="s">
        <v>64</v>
      </c>
      <c r="C151" s="32" t="n">
        <v>159</v>
      </c>
      <c r="D151" s="32" t="s">
        <v>42</v>
      </c>
      <c r="E151" s="32" t="s">
        <v>48</v>
      </c>
    </row>
    <row r="152" customFormat="false" ht="13.8" hidden="false" customHeight="false" outlineLevel="0" collapsed="false">
      <c r="A152" s="35" t="n">
        <v>46023</v>
      </c>
      <c r="B152" s="36" t="s">
        <v>65</v>
      </c>
      <c r="C152" s="32" t="n">
        <v>448</v>
      </c>
      <c r="D152" s="32" t="s">
        <v>42</v>
      </c>
      <c r="E152" s="32" t="s">
        <v>48</v>
      </c>
    </row>
    <row r="153" customFormat="false" ht="13.8" hidden="false" customHeight="false" outlineLevel="0" collapsed="false">
      <c r="A153" s="35" t="n">
        <v>46023</v>
      </c>
      <c r="B153" s="36" t="s">
        <v>66</v>
      </c>
      <c r="C153" s="32" t="n">
        <v>28.9</v>
      </c>
      <c r="D153" s="32" t="s">
        <v>42</v>
      </c>
      <c r="E153" s="32" t="s">
        <v>48</v>
      </c>
    </row>
    <row r="154" customFormat="false" ht="13.8" hidden="false" customHeight="false" outlineLevel="0" collapsed="false">
      <c r="A154" s="35" t="n">
        <v>46023</v>
      </c>
      <c r="B154" s="36" t="s">
        <v>67</v>
      </c>
      <c r="C154" s="32" t="n">
        <v>586</v>
      </c>
      <c r="D154" s="32" t="s">
        <v>42</v>
      </c>
      <c r="E154" s="32" t="s">
        <v>48</v>
      </c>
    </row>
    <row r="155" customFormat="false" ht="13.8" hidden="false" customHeight="false" outlineLevel="0" collapsed="false">
      <c r="A155" s="35" t="n">
        <v>46023</v>
      </c>
      <c r="B155" s="36" t="s">
        <v>68</v>
      </c>
      <c r="C155" s="32" t="n">
        <v>479.2</v>
      </c>
      <c r="D155" s="32" t="s">
        <v>42</v>
      </c>
      <c r="E155" s="32" t="s">
        <v>48</v>
      </c>
    </row>
    <row r="156" customFormat="false" ht="13.8" hidden="false" customHeight="false" outlineLevel="0" collapsed="false">
      <c r="A156" s="35" t="n">
        <v>46023</v>
      </c>
      <c r="B156" s="36" t="s">
        <v>69</v>
      </c>
      <c r="C156" s="32" t="n">
        <v>200.4</v>
      </c>
      <c r="D156" s="32" t="s">
        <v>42</v>
      </c>
      <c r="E156" s="32" t="s">
        <v>48</v>
      </c>
    </row>
    <row r="157" customFormat="false" ht="13.8" hidden="false" customHeight="false" outlineLevel="0" collapsed="false">
      <c r="A157" s="35" t="n">
        <v>46023</v>
      </c>
      <c r="B157" s="36" t="s">
        <v>70</v>
      </c>
      <c r="C157" s="32" t="n">
        <v>145.4</v>
      </c>
      <c r="D157" s="32" t="s">
        <v>42</v>
      </c>
      <c r="E157" s="32" t="s">
        <v>48</v>
      </c>
    </row>
    <row r="158" customFormat="false" ht="13.8" hidden="false" customHeight="false" outlineLevel="0" collapsed="false">
      <c r="A158" s="35" t="n">
        <v>46054</v>
      </c>
      <c r="B158" s="36" t="s">
        <v>59</v>
      </c>
      <c r="C158" s="32" t="n">
        <v>191.8</v>
      </c>
      <c r="D158" s="32" t="s">
        <v>42</v>
      </c>
      <c r="E158" s="32" t="s">
        <v>48</v>
      </c>
    </row>
    <row r="159" customFormat="false" ht="13.8" hidden="false" customHeight="false" outlineLevel="0" collapsed="false">
      <c r="A159" s="35" t="n">
        <v>46054</v>
      </c>
      <c r="B159" s="36" t="s">
        <v>60</v>
      </c>
      <c r="C159" s="32" t="n">
        <v>580.7</v>
      </c>
      <c r="D159" s="32" t="s">
        <v>42</v>
      </c>
      <c r="E159" s="32" t="s">
        <v>48</v>
      </c>
    </row>
    <row r="160" customFormat="false" ht="13.8" hidden="false" customHeight="false" outlineLevel="0" collapsed="false">
      <c r="A160" s="35" t="n">
        <v>46054</v>
      </c>
      <c r="B160" s="36" t="s">
        <v>61</v>
      </c>
      <c r="C160" s="32" t="n">
        <v>732.5</v>
      </c>
      <c r="D160" s="32" t="s">
        <v>42</v>
      </c>
      <c r="E160" s="32" t="s">
        <v>48</v>
      </c>
    </row>
    <row r="161" customFormat="false" ht="13.8" hidden="false" customHeight="false" outlineLevel="0" collapsed="false">
      <c r="A161" s="35" t="n">
        <v>46054</v>
      </c>
      <c r="B161" s="36" t="s">
        <v>62</v>
      </c>
      <c r="C161" s="32" t="n">
        <v>196.3</v>
      </c>
      <c r="D161" s="32" t="s">
        <v>42</v>
      </c>
      <c r="E161" s="32" t="s">
        <v>48</v>
      </c>
    </row>
    <row r="162" customFormat="false" ht="13.8" hidden="false" customHeight="false" outlineLevel="0" collapsed="false">
      <c r="A162" s="35" t="n">
        <v>46054</v>
      </c>
      <c r="B162" s="36" t="s">
        <v>63</v>
      </c>
      <c r="C162" s="32" t="n">
        <v>327.1</v>
      </c>
      <c r="D162" s="32" t="s">
        <v>42</v>
      </c>
      <c r="E162" s="32" t="s">
        <v>48</v>
      </c>
    </row>
    <row r="163" customFormat="false" ht="13.8" hidden="false" customHeight="false" outlineLevel="0" collapsed="false">
      <c r="A163" s="35" t="n">
        <v>46054</v>
      </c>
      <c r="B163" s="36" t="s">
        <v>64</v>
      </c>
      <c r="C163" s="32" t="n">
        <v>152.9</v>
      </c>
      <c r="D163" s="32" t="s">
        <v>42</v>
      </c>
      <c r="E163" s="32" t="s">
        <v>48</v>
      </c>
    </row>
    <row r="164" customFormat="false" ht="13.8" hidden="false" customHeight="false" outlineLevel="0" collapsed="false">
      <c r="A164" s="35" t="n">
        <v>46054</v>
      </c>
      <c r="B164" s="36" t="s">
        <v>65</v>
      </c>
      <c r="C164" s="32" t="n">
        <v>452.9</v>
      </c>
      <c r="D164" s="32" t="s">
        <v>42</v>
      </c>
      <c r="E164" s="32" t="s">
        <v>48</v>
      </c>
    </row>
    <row r="165" customFormat="false" ht="13.8" hidden="false" customHeight="false" outlineLevel="0" collapsed="false">
      <c r="A165" s="35" t="n">
        <v>46054</v>
      </c>
      <c r="B165" s="36" t="s">
        <v>66</v>
      </c>
      <c r="C165" s="32" t="n">
        <v>32.5</v>
      </c>
      <c r="D165" s="32" t="s">
        <v>42</v>
      </c>
      <c r="E165" s="32" t="s">
        <v>48</v>
      </c>
    </row>
    <row r="166" customFormat="false" ht="13.8" hidden="false" customHeight="false" outlineLevel="0" collapsed="false">
      <c r="A166" s="35" t="n">
        <v>46054</v>
      </c>
      <c r="B166" s="36" t="s">
        <v>67</v>
      </c>
      <c r="C166" s="32" t="n">
        <v>594.5</v>
      </c>
      <c r="D166" s="32" t="s">
        <v>42</v>
      </c>
      <c r="E166" s="32" t="s">
        <v>48</v>
      </c>
    </row>
    <row r="167" customFormat="false" ht="13.8" hidden="false" customHeight="false" outlineLevel="0" collapsed="false">
      <c r="A167" s="35" t="n">
        <v>46054</v>
      </c>
      <c r="B167" s="36" t="s">
        <v>68</v>
      </c>
      <c r="C167" s="32" t="n">
        <v>480.9</v>
      </c>
      <c r="D167" s="32" t="s">
        <v>42</v>
      </c>
      <c r="E167" s="32" t="s">
        <v>48</v>
      </c>
    </row>
    <row r="168" customFormat="false" ht="13.8" hidden="false" customHeight="false" outlineLevel="0" collapsed="false">
      <c r="A168" s="35" t="n">
        <v>46054</v>
      </c>
      <c r="B168" s="36" t="s">
        <v>69</v>
      </c>
      <c r="C168" s="32" t="n">
        <v>201.1</v>
      </c>
      <c r="D168" s="32" t="s">
        <v>42</v>
      </c>
      <c r="E168" s="32" t="s">
        <v>48</v>
      </c>
    </row>
    <row r="169" customFormat="false" ht="13.8" hidden="false" customHeight="false" outlineLevel="0" collapsed="false">
      <c r="A169" s="35" t="n">
        <v>46054</v>
      </c>
      <c r="B169" s="36" t="s">
        <v>70</v>
      </c>
      <c r="C169" s="32" t="n">
        <v>138.5</v>
      </c>
      <c r="D169" s="32" t="s">
        <v>42</v>
      </c>
      <c r="E169" s="32" t="s">
        <v>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2026-05-03T21:37:57Z</dcterms:created>
  <dc:creator/>
  <dc:description/>
  <dc:language>en-US</dc:language>
  <cp:lastModifiedBy/>
  <cp:lastPrinted>2026-05-03T22:23:04Z</cp:lastPrinted>
  <dcterms:modified xsi:type="dcterms:W3CDTF">2026-05-20T23:49:36Z</dcterms:modified>
  <cp:revision>6</cp:revision>
  <dc:subject/>
  <dc:title/>
</cp:coreProperties>
</file>